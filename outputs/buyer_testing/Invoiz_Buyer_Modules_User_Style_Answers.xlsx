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0.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9.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umptions" sheetId="2" state="visible" r:id="rId4"/>
    <sheet name="Test Data" sheetId="3" state="visible" r:id="rId5"/>
    <sheet name="Test Files" sheetId="4" state="visible" r:id="rId6"/>
    <sheet name="B1 Account" sheetId="5" state="visible" r:id="rId7"/>
    <sheet name="B2 Address Book" sheetId="6" state="visible" r:id="rId8"/>
    <sheet name="B3 Browse &amp; Search" sheetId="7" state="visible" r:id="rId9"/>
    <sheet name="B4 Product Detail" sheetId="8" state="visible" r:id="rId10"/>
    <sheet name="B5 Wishlist &amp; Follow" sheetId="9" state="visible" r:id="rId11"/>
    <sheet name="B6 Cart" sheetId="10" state="visible" r:id="rId12"/>
    <sheet name="B7 Vouchers" sheetId="11" state="visible" r:id="rId13"/>
    <sheet name="B8 Checkout" sheetId="12" state="visible" r:id="rId14"/>
    <sheet name="B9 Payment" sheetId="13" state="visible" r:id="rId15"/>
    <sheet name="B10 Order Tracking" sheetId="14" state="visible" r:id="rId16"/>
    <sheet name="B11 Cancellation" sheetId="15" state="visible" r:id="rId17"/>
    <sheet name="B12 Return &amp; Refund" sheetId="16" state="visible" r:id="rId18"/>
    <sheet name="B13 Ratings &amp; Reviews" sheetId="17" state="visible" r:id="rId19"/>
    <sheet name="B14 Chat &amp; Notifs" sheetId="18" state="visible" r:id="rId20"/>
  </sheets>
  <definedNames>
    <definedName function="false" hidden="true" localSheetId="4" name="_xlnm._FilterDatabase" vbProcedure="false">'B1 Account'!$A$1:$M$13</definedName>
    <definedName function="false" hidden="true" localSheetId="13" name="_xlnm._FilterDatabase" vbProcedure="false">'B10 Order Tracking'!$A$1:$M$8</definedName>
    <definedName function="false" hidden="true" localSheetId="14" name="_xlnm._FilterDatabase" vbProcedure="false">'B11 Cancellation'!$A$1:$M$7</definedName>
    <definedName function="false" hidden="true" localSheetId="15" name="_xlnm._FilterDatabase" vbProcedure="false">'B12 Return &amp; Refund'!$A$1:$M$7</definedName>
    <definedName function="false" hidden="true" localSheetId="16" name="_xlnm._FilterDatabase" vbProcedure="false">'B13 Ratings &amp; Reviews'!$A$1:$M$8</definedName>
    <definedName function="false" hidden="true" localSheetId="17" name="_xlnm._FilterDatabase" vbProcedure="false">'B14 Chat &amp; Notifs'!$A$1:$M$9</definedName>
    <definedName function="false" hidden="true" localSheetId="5" name="_xlnm._FilterDatabase" vbProcedure="false">'B2 Address Book'!$A$1:$M$12</definedName>
    <definedName function="false" hidden="true" localSheetId="6" name="_xlnm._FilterDatabase" vbProcedure="false">'B3 Browse &amp; Search'!$A$1:$M$14</definedName>
    <definedName function="false" hidden="true" localSheetId="7" name="_xlnm._FilterDatabase" vbProcedure="false">'B4 Product Detail'!$A$1:$M$11</definedName>
    <definedName function="false" hidden="true" localSheetId="8" name="_xlnm._FilterDatabase" vbProcedure="false">'B5 Wishlist &amp; Follow'!$A$1:$M$6</definedName>
    <definedName function="false" hidden="true" localSheetId="9" name="_xlnm._FilterDatabase" vbProcedure="false">'B6 Cart'!$A$1:$M$13</definedName>
    <definedName function="false" hidden="true" localSheetId="10" name="_xlnm._FilterDatabase" vbProcedure="false">'B7 Vouchers'!$A$1:$M$13</definedName>
    <definedName function="false" hidden="true" localSheetId="11" name="_xlnm._FilterDatabase" vbProcedure="false">'B8 Checkout'!$A$1:$M$14</definedName>
    <definedName function="false" hidden="true" localSheetId="12" name="_xlnm._FilterDatabase" vbProcedure="false">'B9 Payment'!$A$1:$M$10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<sst xmlns="http://schemas.openxmlformats.org/spreadsheetml/2006/main" count="2258" uniqueCount="1336">
  <si>
    <t xml:space="preserve">Black-Box Test Cases: Buyer Modules (B1–B14) (Mobile App)</t>
  </si>
  <si>
    <t xml:space="preserve">Multi-role e-commerce and logistics mobile app (Buyer, Seller, Logistics, Rider, Courier)</t>
  </si>
  <si>
    <t xml:space="preserve">Test run details</t>
  </si>
  <si>
    <t xml:space="preserve">System under test</t>
  </si>
  <si>
    <t xml:space="preserve">App version / build number</t>
  </si>
  <si>
    <t xml:space="preserve">Test device (model, OS version) and network (Wi-Fi / mobile data)</t>
  </si>
  <si>
    <t xml:space="preserve">Tester</t>
  </si>
  <si>
    <t xml:space="preserve">Date tested</t>
  </si>
  <si>
    <t xml:space="preserve">Results by module</t>
  </si>
  <si>
    <t xml:space="preserve">Module (sheet)</t>
  </si>
  <si>
    <t xml:space="preserve">Total test cases</t>
  </si>
  <si>
    <t xml:space="preserve">Pass</t>
  </si>
  <si>
    <t xml:space="preserve">Fail</t>
  </si>
  <si>
    <t xml:space="preserve">Blocked</t>
  </si>
  <si>
    <t xml:space="preserve">Not Run</t>
  </si>
  <si>
    <t xml:space="preserve">Pass rate (Pass / Total)</t>
  </si>
  <si>
    <t xml:space="preserve">B1 Account</t>
  </si>
  <si>
    <t xml:space="preserve">B2 Address Book</t>
  </si>
  <si>
    <t xml:space="preserve">B3 Browse &amp; Search</t>
  </si>
  <si>
    <t xml:space="preserve">B4 Product Detail</t>
  </si>
  <si>
    <t xml:space="preserve">B5 Wishlist &amp; Follow</t>
  </si>
  <si>
    <t xml:space="preserve">B6 Cart</t>
  </si>
  <si>
    <t xml:space="preserve">B7 Vouchers</t>
  </si>
  <si>
    <t xml:space="preserve">B8 Checkout</t>
  </si>
  <si>
    <t xml:space="preserve">B9 Payment</t>
  </si>
  <si>
    <t xml:space="preserve">B10 Order Tracking</t>
  </si>
  <si>
    <t xml:space="preserve">B11 Cancellation</t>
  </si>
  <si>
    <t xml:space="preserve">B12 Return &amp; Refund</t>
  </si>
  <si>
    <t xml:space="preserve">B13 Ratings &amp; Reviews</t>
  </si>
  <si>
    <t xml:space="preserve">B14 Chat &amp; Notifs</t>
  </si>
  <si>
    <t xml:space="preserve">Total</t>
  </si>
  <si>
    <t xml:space="preserve">How to use this workbook</t>
  </si>
  <si>
    <t xml:space="preserve">1. Run after the Seller test set, so the products, vouchers and sales on the Test Data sheet exist.</t>
  </si>
  <si>
    <t xml:space="preserve">2. Strict pass rule: a case passes only if EVERY point in its Expected Result is true. If any point is false, or something happens that the Expected Result does not mention (an extra record, a stock change, a wrong notification, an app crash or freeze, a server error), mark it Fail.</t>
  </si>
  <si>
    <t xml:space="preserve">3. Check side effects, not just the screen: after each case, confirm the stock, order status, voucher usage, balances and the other roles' views named in the Expected Result. 'Nothing is saved' means the record is missing after a pull-to-pull-to-refresh, or after closing and reopening the screen.</t>
  </si>
  <si>
    <t xml:space="preserve">4. Error messages must appear next to the field (or at the top of the form) and say what is wrong and how to fix it. A generic 'Something went wrong', a blank screen, an app crash, or a 500 error is a Fail even when the action was correctly blocked.</t>
  </si>
  <si>
    <t xml:space="preserve">5. For 'Error Guessing' security cases, a correct block shows a 403 screen, a 'not found' screen or a redirect, and shows NO data from the other user's record anywhere on the screen.</t>
  </si>
  <si>
    <t xml:space="preserve">6. Read the Assumptions sheet first. Rules A2 to A8 are the seven rules the module plan says must be agreed before testing; adjust any case whose rule differs from your system.</t>
  </si>
  <si>
    <t xml:space="preserve">7. Seed the accounts, products, vouchers and shipping rates on the Test Data sheet before running the cases. Emails use example.com; read them from a mail catcher such as Mailtrap.</t>
  </si>
  <si>
    <t xml:space="preserve">8. Test Case IDs follow &lt;ROLE&gt;-&lt;MODULE&gt;-&lt;NNN&gt;. Each module has positive, negative and boundary cases.</t>
  </si>
  <si>
    <t xml:space="preserve">9. Fill in only the yellow cells: Actual Result, Status and Remarks. Pick the Status from the dropdown (Pass, Fail, Blocked, Not Run).</t>
  </si>
  <si>
    <t xml:space="preserve">10. Pass = actual matches expected. Fail = it does not (describe what happened and add a screenshot or bug number in Remarks). Blocked = the case could not be run, for example because an earlier case failed.</t>
  </si>
  <si>
    <t xml:space="preserve">11. The Results by module table above updates automatically from the Status column.</t>
  </si>
  <si>
    <t xml:space="preserve">Black-box techniques used</t>
  </si>
  <si>
    <t xml:space="preserve">Equivalence Partitioning</t>
  </si>
  <si>
    <t xml:space="preserve">Inputs are grouped into valid and invalid classes, and one value from each class is tested.</t>
  </si>
  <si>
    <t xml:space="preserve">Boundary Value Analysis</t>
  </si>
  <si>
    <t xml:space="preserve">Values at and just beyond a limit are tested, for example ₱0.99, ₱1.00 and ₱1.01 for a ₱1.00 minimum price.</t>
  </si>
  <si>
    <t xml:space="preserve">Decision Table</t>
  </si>
  <si>
    <t xml:space="preserve">Combinations of conditions are tested, for example which vouchers can stack.</t>
  </si>
  <si>
    <t xml:space="preserve">State Transition</t>
  </si>
  <si>
    <t xml:space="preserve">Changes in order or shipment status are tested, including transitions that must be blocked.</t>
  </si>
  <si>
    <t xml:space="preserve">Use Case Testing</t>
  </si>
  <si>
    <t xml:space="preserve">A complete user flow is tested from start to finish with valid data.</t>
  </si>
  <si>
    <t xml:space="preserve">Error Guessing</t>
  </si>
  <si>
    <t xml:space="preserve">Likely mistakes are tested based on experience, for example double-tapping Place Order or changing an ID in a deep link or API request.</t>
  </si>
  <si>
    <t xml:space="preserve">Mobile app testing notes</t>
  </si>
  <si>
    <t xml:space="preserve">1. Install the build under test on at least one Android phone, and on an iPhone if your system supports iOS. Write the phone model, OS version and app build number in the Test run details above, and test on the same build throughout.</t>
  </si>
  <si>
    <t xml:space="preserve">2. Copy every file on the Test Files sheet to the phone before testing: documents to the Files / Downloads folder and images to Photos (gallery).</t>
  </si>
  <si>
    <t xml:space="preserve">3. Rows whose Test Scenario starts with [Mobile] are new mobile-only cases (keyboard, interruptions, no internet, permissions, camera, Back button, push notifications, deep links). Filter the Test Scenario column on '[Mobile]' to run them as a group. Assumptions M1 to M14 describe the rules they check.</t>
  </si>
  <si>
    <t xml:space="preserve">4. 'Tap' is a single tap and 'double-tap' is two quick taps on the same button. 'Pull to refresh' means dragging the screen down from the top; if a screen has none, go back and reopen it. Use Airplane mode for the no-internet cases and turn it off before the next case.</t>
  </si>
  <si>
    <t xml:space="preserve">5. Cases that send or capture an API request need a proxy tool on the phone (Assumption M11). If your group cannot capture app traffic, mark those cases Blocked and write 'no proxy' in Remarks.</t>
  </si>
  <si>
    <t xml:space="preserve">6. Evidence: use the phone's screenshot or built-in screen recorder and name each file by case ID (for example buy-010.png or buy-031.mp4). Screen recordings are best for timing, interruption and no-internet cases.</t>
  </si>
  <si>
    <t xml:space="preserve">Assumptions used in the test cases</t>
  </si>
  <si>
    <t xml:space="preserve">These rules are assumptions modeled on Philippine marketplaces, not taken from your actual system. Rules A2 to A8 are the seven rules the module plan says must be agreed before testing; A25 to A37 fix the limits the strict expected results depend on. Write your real rule in column D where it differs, then filter the Assumption Ref column on each module sheet to find the test cases to adjust. A38 to A41 cover couriers and hub-to-hub (linehaul) trips. M1 to M14 are the mobile-app rules used by the [Mobile] cases.</t>
  </si>
  <si>
    <t xml:space="preserve">Ref</t>
  </si>
  <si>
    <t xml:space="preserve">Topic</t>
  </si>
  <si>
    <t xml:space="preserve">Assumed rule</t>
  </si>
  <si>
    <t xml:space="preserve">Your system's actual rule (fill in if different)</t>
  </si>
  <si>
    <t xml:space="preserve">A1</t>
  </si>
  <si>
    <t xml:space="preserve">Test accounts</t>
  </si>
  <si>
    <t xml:space="preserve">The accounts on the Test Data sheet already exist and are Active or Approved (they are the accounts created in the Account Creation test set). Seller 3 is Pending Approval and Rider 3 and Courier 3 are Suspended, for the negative cases. Reset the seeded products, stock and vouchers to their Test Data values before each module.</t>
  </si>
  <si>
    <t xml:space="preserve">A2</t>
  </si>
  <si>
    <t xml:space="preserve">Voucher stacking (rule 1)</t>
  </si>
  <si>
    <t xml:space="preserve">Per order: at most 1 store voucher per store, plus 1 platform voucher, plus 1 shipping voucher. Selecting a second voucher of the same type replaces the first; it never stacks.</t>
  </si>
  <si>
    <t xml:space="preserve">A3</t>
  </si>
  <si>
    <t xml:space="preserve">Stock deduction (rule 2)</t>
  </si>
  <si>
    <t xml:space="preserve">Stock is deducted when the order is placed, for every payment method. It is restored when the order is cancelled (by buyer, seller or auto-cancel). For a Return-to-Sender or returned parcel, stock is restored when the seller confirms receipt. Stock can never go below 0.</t>
  </si>
  <si>
    <t xml:space="preserve">A4</t>
  </si>
  <si>
    <t xml:space="preserve">Sale + voucher (rule 3)</t>
  </si>
  <si>
    <t xml:space="preserve">Vouchers apply to items already on sale. Minimum spend is checked against the price actually paid (the sale or flash price), not the original price.</t>
  </si>
  <si>
    <t xml:space="preserve">A5</t>
  </si>
  <si>
    <t xml:space="preserve">Flash sales (rule 4)</t>
  </si>
  <si>
    <t xml:space="preserve">Sellers create flash sales for their own products in fixed time slots. When a product is in both a store sale and a flash sale, the flash price wins while flash quantity remains. Units beyond the remaining flash quantity in the same order are charged at the store sale price, or the regular price if there is no sale, and are shown on a separate line.</t>
  </si>
  <si>
    <t xml:space="preserve">A6</t>
  </si>
  <si>
    <t xml:space="preserve">Cancellation window and auto-cancel (rule 5)</t>
  </si>
  <si>
    <t xml:space="preserve">A buyer can cancel until the seller marks the order Ready for Pickup; after that there is no cancel option at all. A seller can cancel until the parcel is Picked Up. Unpaid e-wallet or card orders auto-cancel exactly 1 hour after the order is placed.</t>
  </si>
  <si>
    <t xml:space="preserve">A7</t>
  </si>
  <si>
    <t xml:space="preserve">Variation limits and category depth (rule 6)</t>
  </si>
  <si>
    <t xml:space="preserve">A product has at most 2 variation types, with 1 to 20 options per type. Store categories have at most 2 levels (category and subcategory). A product can belong to up to 3 store categories.</t>
  </si>
  <si>
    <t xml:space="preserve">A8</t>
  </si>
  <si>
    <t xml:space="preserve">Voucher funding (rule 7)</t>
  </si>
  <si>
    <t xml:space="preserve">Store vouchers, sale discounts, flash sales and bundle discounts are seller-funded. Platform vouchers and shipping vouchers are platform-funded and never reduce the seller's earnings. A platform voucher on a multi-store checkout is split across the store orders in proportion to each store's merchandise subtotal, rounded to the centavo, with any rounding remainder given to the largest store. When only some items in an order are refunded, the store voucher is split across the items in proportion to their price, and the refund is the item price minus its voucher share.</t>
  </si>
  <si>
    <t xml:space="preserve">A9</t>
  </si>
  <si>
    <t xml:space="preserve">Platform commission and rounding</t>
  </si>
  <si>
    <t xml:space="preserve">Commission is 5% of the item subtotal after seller-funded discounts. Shipping fees are not part of the seller's gross sales. All money is rounded to 2 decimals (half up) per order.</t>
  </si>
  <si>
    <t xml:space="preserve">A10</t>
  </si>
  <si>
    <t xml:space="preserve">Order status flow</t>
  </si>
  <si>
    <t xml:space="preserve">Buyer tabs: To Pay → To Ship → To Receive → Completed (or Cancelled, Return/Refund). Seller: New → Accepted → Packed → Ready for Pickup. Shipment: Ready for Pickup → Assigned → Picked Up → At Hub → (In Transit → At Hub at the destination hub, when the address belongs to another hub; see A38) → Out for Delivery → Delivered (or Failed Delivery → Return to Sender → Returned to Sender). No status can be skipped or moved backwards except by a logged Logistics override.</t>
  </si>
  <si>
    <t xml:space="preserve">A11</t>
  </si>
  <si>
    <t xml:space="preserve">Order completion and return window</t>
  </si>
  <si>
    <t xml:space="preserve">The buyer taps Order Received, or the order completes automatically 7 days (168 hours) after Delivered. A return or refund can be requested only after Delivered, within those 7 days and before the order is Completed.</t>
  </si>
  <si>
    <t xml:space="preserve">A12</t>
  </si>
  <si>
    <t xml:space="preserve">Reviews</t>
  </si>
  <si>
    <t xml:space="preserve">A review is allowed only for Completed orders, within 30 days of completion, one review per item. Stars (1–5) are required; text is optional, up to 500 characters; up to 5 photos. It can be edited once within the 30 days. The seller can post one reply per review and edit it; the seller cannot delete or hide a buyer's review.</t>
  </si>
  <si>
    <t xml:space="preserve">A13</t>
  </si>
  <si>
    <t xml:space="preserve">Failed delivery</t>
  </si>
  <si>
    <t xml:space="preserve">Up to 3 delivery attempts. A reason from the list (Buyer not home, Wrong address, Refused) is required for every failed attempt. After the 3rd failed attempt, or immediately when the reason is Refused, the parcel is marked Return to Sender.</t>
  </si>
  <si>
    <t xml:space="preserve">A14</t>
  </si>
  <si>
    <t xml:space="preserve">Rider job rules</t>
  </si>
  <si>
    <t xml:space="preserve">A job offer expires after 60 seconds. A declined or expired offer goes to the next nearest eligible rider; after 3 riders decline or let it expire, the job goes to the Unassigned queue for manual assignment. A rider holds at most 3 active jobs. Only Active, Online riders receive offers.</t>
  </si>
  <si>
    <t xml:space="preserve">A15</t>
  </si>
  <si>
    <t xml:space="preserve">Seller earnings and payout</t>
  </si>
  <si>
    <t xml:space="preserve">Earnings move from Pending to Available only when an order is Completed. Cancelled, returned and refunded amounts are excluded. A payout request must be at least ₱100.00 and no more than the Available balance, and only one payout request can be pending at a time.</t>
  </si>
  <si>
    <t xml:space="preserve">A16</t>
  </si>
  <si>
    <t xml:space="preserve">Image upload rule</t>
  </si>
  <si>
    <t xml:space="preserve">Product, logo, banner, review, return, chat and proof-of-delivery images: JPG or PNG only (checked by file content, not just the extension), maximum 5 MB each. A product has 1 to 9 images.</t>
  </si>
  <si>
    <t xml:space="preserve">A17</t>
  </si>
  <si>
    <t xml:space="preserve">Price and quantity rule</t>
  </si>
  <si>
    <t xml:space="preserve">Prices range from ₱1.00 to ₱1,000,000.00 with up to 2 decimal places. Stock and quantities are whole numbers from 0 to 99,999.</t>
  </si>
  <si>
    <t xml:space="preserve">A18</t>
  </si>
  <si>
    <t xml:space="preserve">Store vacation and verification</t>
  </si>
  <si>
    <t xml:space="preserve">In vacation mode, products stay visible but Add to Cart and Buy Now are disabled with an 'On vacation' label, and checkout of items already in carts is blocked. A seller that is not Approved can save products only as drafts and cannot publish.</t>
  </si>
  <si>
    <t xml:space="preserve">A19</t>
  </si>
  <si>
    <t xml:space="preserve">Deleting categories and products</t>
  </si>
  <si>
    <t xml:space="preserve">Deleting a store category that still has products moves those products to 'Uncategorized'. Deleting a parent category also deletes its subcategories. A product or a variant with unfinished orders cannot be deleted; other deletes are soft deletes, so order history still shows the product's name, image and price.</t>
  </si>
  <si>
    <t xml:space="preserve">A20</t>
  </si>
  <si>
    <t xml:space="preserve">Shipping fee</t>
  </si>
  <si>
    <t xml:space="preserve">Shipping is charged per store, using the rate table on the Test Data sheet. Chargeable weight is the total actual weight of that store's items in the order, rounded up to the next whole kg. Rate changes apply only to checkouts started after the change.</t>
  </si>
  <si>
    <t xml:space="preserve">A21</t>
  </si>
  <si>
    <t xml:space="preserve">Voucher return on cancellation</t>
  </si>
  <si>
    <t xml:space="preserve">A voucher used on a cancelled order is returned to the buyer's wallet if it has not yet expired, and its usage count is reduced by 1. A voucher is not returned for a refunded (returned) order.</t>
  </si>
  <si>
    <t xml:space="preserve">A22</t>
  </si>
  <si>
    <t xml:space="preserve">Session and access</t>
  </si>
  <si>
    <t xml:space="preserve">Each role can open only its own screens; other roles get 403, an access-denied screen or a redirect, for both deep links and direct API requests. Users can open only their own records (orders, products, shipments, riders, couriers, trips). A session expires after 30 minutes of inactivity.</t>
  </si>
  <si>
    <t xml:space="preserve">A23</t>
  </si>
  <si>
    <t xml:space="preserve">Notifications</t>
  </si>
  <si>
    <t xml:space="preserve">Every order or shipment status change sends an in-app notification and a push notification to each role involved, and to no one else. Emails use example.com and are read from the mail catcher.</t>
  </si>
  <si>
    <t xml:space="preserve">A24</t>
  </si>
  <si>
    <t xml:space="preserve">COD remittance</t>
  </si>
  <si>
    <t xml:space="preserve">Riders remit the full COD collected to their logistics company by the end of the day. Only the logistics company can confirm a remittance. Any difference between collected and remitted COD is flagged on the reconciliation screen.</t>
  </si>
  <si>
    <t xml:space="preserve">A25</t>
  </si>
  <si>
    <t xml:space="preserve">Text field limits</t>
  </si>
  <si>
    <t xml:space="preserve">Store name 3–30 characters (unique, not case-sensitive, spaces trimmed). Store description up to 500. Store category name 1–50 (unique per store, not case-sensitive, trimmed). Product name 5–120. Product description 20–3,000. Note to seller up to 200. Chat message 1–1,000. Free-text reasons (cancel, reject, override, suspend) 10–300. HTML or script entered in any field is shown as plain text.</t>
  </si>
  <si>
    <t xml:space="preserve">A26</t>
  </si>
  <si>
    <t xml:space="preserve">Voucher code rule</t>
  </si>
  <si>
    <t xml:space="preserve">4 to 12 letters and digits, no spaces or symbols, saved in uppercase. Codes are unique across the whole platform. Buyers can type the code in any case.</t>
  </si>
  <si>
    <t xml:space="preserve">A27</t>
  </si>
  <si>
    <t xml:space="preserve">Editing vouchers after claim</t>
  </si>
  <si>
    <t xml:space="preserve">Once any buyer has claimed a voucher, the seller can only extend its end date or raise its usage limit; all other fields are locked. Ending a voucher removes it from the wallets of buyers who have not used it; orders already placed keep their discount.</t>
  </si>
  <si>
    <t xml:space="preserve">A28</t>
  </si>
  <si>
    <t xml:space="preserve">Store sales</t>
  </si>
  <si>
    <t xml:space="preserve">A product can be in only one store sale at a time; overlapping schedules are rejected. A running sale's discount can be edited and applies immediately to new orders; End Now ends it at once. Orders already placed keep the price paid.</t>
  </si>
  <si>
    <t xml:space="preserve">A29</t>
  </si>
  <si>
    <t xml:space="preserve">Low-stock alert</t>
  </si>
  <si>
    <t xml:space="preserve">An alert is shown when a product's or variant's stock reaches 5 or fewer, once per crossing (it does not repeat until stock goes above 5 and drops again).</t>
  </si>
  <si>
    <t xml:space="preserve">A30</t>
  </si>
  <si>
    <t xml:space="preserve">Address book</t>
  </si>
  <si>
    <t xml:space="preserve">Up to 10 addresses per buyer. The default address cannot be deleted until another address is made default. Orders keep a copy of the address at order time, so editing or deleting an address does not change existing orders.</t>
  </si>
  <si>
    <t xml:space="preserve">A31</t>
  </si>
  <si>
    <t xml:space="preserve">Return and refund requests</t>
  </si>
  <si>
    <t xml:space="preserve">Reason from the list, a description of 10–500 characters, and 1 to 5 photos (JPG or PNG, 5 MB each) are required. The seller must respond within 3 days or the request is auto-approved. A rejected request can be escalated to a dispute once, within 3 days. The refund goes to the original payment method; for COD orders, to the buyer's refund account.</t>
  </si>
  <si>
    <t xml:space="preserve">A32</t>
  </si>
  <si>
    <t xml:space="preserve">Proof of delivery</t>
  </si>
  <si>
    <t xml:space="preserve">Delivered needs a photo (JPG or PNG) and the 6-digit delivery OTP shown in the buyer's app once the parcel is Out for Delivery. After 5 wrong OTP entries, OTP entry on that job is locked for 15 minutes.</t>
  </si>
  <si>
    <t xml:space="preserve">A33</t>
  </si>
  <si>
    <t xml:space="preserve">Rider pay</t>
  </si>
  <si>
    <t xml:space="preserve">₱50.00 per successful delivery, ₱30.00 per completed pickup, ₱0.00 for a failed attempt. Pay is not reduced by COD.</t>
  </si>
  <si>
    <t xml:space="preserve">A34</t>
  </si>
  <si>
    <t xml:space="preserve">Dispatch and reassignment</t>
  </si>
  <si>
    <t xml:space="preserve">Auto-assign offers a job to the nearest Online, Active rider of the same company with fewer than 3 active jobs. Logistics can reassign a job only before it is Picked Up. Suspending a rider returns their not-yet-picked-up jobs to the Unassigned queue; parcels already picked up stay with that rider.</t>
  </si>
  <si>
    <t xml:space="preserve">A35</t>
  </si>
  <si>
    <t xml:space="preserve">Audit log</t>
  </si>
  <si>
    <t xml:space="preserve">Every manual status override, rider or courier approval or suspension, trip reassignment or cancellation, seal or missing-parcel discrepancy, rate change and remittance confirmation is logged with user, date and time, old value, new value and reason. Log entries cannot be edited or deleted from the UI.</t>
  </si>
  <si>
    <t xml:space="preserve">A36</t>
  </si>
  <si>
    <t xml:space="preserve">Report export</t>
  </si>
  <si>
    <t xml:space="preserve">Reports export as CSV and XLSX. Exported rows and totals equal the on-screen rows and totals for the same filter.</t>
  </si>
  <si>
    <t xml:space="preserve">A37</t>
  </si>
  <si>
    <t xml:space="preserve">Duplicate submissions</t>
  </si>
  <si>
    <t xml:space="preserve">Every create or submit action (Publish, Place Order, Pay, Request Payout, Accept job, Remit, Confirm) is idempotent: double-tapping, tapping the keyboard's Done key twice, pulling to pull-to-refresh, or going Back and resubmitting never creates a second record or a second charge.</t>
  </si>
  <si>
    <t xml:space="preserve">A38</t>
  </si>
  <si>
    <t xml:space="preserve">Linehaul trips (hub to hub)</t>
  </si>
  <si>
    <t xml:space="preserve">A parcel whose delivery address belongs to another hub travels between hubs on a linehaul trip driven by a courier. Logistics creates the trip (origin hub, destination hub, and parcels that are At Hub at the origin and belong to the destination hub's delivery zone), then assigns a courier. The courier accepts, scans every parcel while loading, enters the seal number and departs; each parcel becomes In Transit. At the destination, hub staff confirm the seal and scan each parcel in (At Hub). Trip statuses: Scheduled → Assigned → Accepted → Loading → In Transit → Arrived → Completed (or Completed with Discrepancy, or Cancelled). A trip can be edited or cancelled only before departure.</t>
  </si>
  <si>
    <t xml:space="preserve">A39</t>
  </si>
  <si>
    <t xml:space="preserve">Courier rules</t>
  </si>
  <si>
    <t xml:space="preserve">Only Active couriers who are On Duty can be assigned a trip; a courier holds at most 1 active trip, and the trip weight cannot exceed the vehicle's load capacity. Going On Duty needs location permission and a passed pre-trip checklist (Tires, Lights, Brakes, Fuel, Cargo door lock); an item marked Not OK needs a note (10–300 characters), keeps the courier Off Duty and notifies Logistics. Off Duty is not allowed while a trip is Loading or In Transit. Depart is allowed only within 500 m of the origin hub and after every parcel is scanned; Arrived only within 500 m of the destination hub. Suspending a courier returns their Assigned or Accepted trips to Unassigned; a trip already In Transit stays with them until handover. Only hub staff can confirm receipt at the destination. Plate and license numbers are unique across riders and couriers.</t>
  </si>
  <si>
    <t xml:space="preserve">A40</t>
  </si>
  <si>
    <t xml:space="preserve">Seal and handover discrepancies</t>
  </si>
  <si>
    <t xml:space="preserve">The seal number is BH- followed by 7 digits (for example BH-0004521) and is required before departure. If the seal entered at the destination does not match, the trip is flagged Seal Discrepancy. Parcels not scanned in when the destination hub closes receiving become Missing in Transit; a parcel marked Damaged needs a photo. Any discrepancy makes the trip Completed with Discrepancy, notifies Logistics and the seller, and asks the courier for a note (10–300 characters). All are logged (A35).</t>
  </si>
  <si>
    <t xml:space="preserve">A41</t>
  </si>
  <si>
    <t xml:space="preserve">Courier pay and delays</t>
  </si>
  <si>
    <t xml:space="preserve">Pay per completed trip: Van ₱600.00, 4-Wheeler Closed Van Truck ₱1,000.00, 6-Wheeler Truck ₱1,500.00. Declined, cancelled and reassigned-away trips pay ₱0.00; the pay goes to the courier who completes the handover. A delay report needs a reason from the list (Heavy traffic, Vehicle breakdown, Weather, Road closure, Other) and a new ETA later than the current time; Logistics is notified. After a Vehicle breakdown report, Logistics can reassign the In Transit trip to another courier, who must scan every parcel again before continuing.</t>
  </si>
  <si>
    <t xml:space="preserve">M1</t>
  </si>
  <si>
    <t xml:space="preserve">Mobile app under test</t>
  </si>
  <si>
    <t xml:space="preserve">The system is tested as a mobile app (Android and/or iOS) installed from an APK, TestFlight or store build. Record the phone model, OS version and app build on the Summary sheet. Admin-only steps (approvals, platform vouchers) may stay on a web admin panel; run those steps there.</t>
  </si>
  <si>
    <t xml:space="preserve">M2</t>
  </si>
  <si>
    <t xml:space="preserve">Keyboard and input</t>
  </si>
  <si>
    <t xml:space="preserve">Each field opens the keyboard that fits it: email keyboard (with @) for Email; number pad for Mobile Number, OTP, Postal Code, TIN, quantity and stock; decimal pad for prices and weight. Password fields show no autocorrect or suggestions. The keyboard never hides the focused field or the main button.</t>
  </si>
  <si>
    <t xml:space="preserve">M3</t>
  </si>
  <si>
    <t xml:space="preserve">OTP entry on the phone</t>
  </si>
  <si>
    <t xml:space="preserve">The OTP field accepts a pasted 6-digit code (filling every box when the field is split into boxes) and supports the phone's one-time-code autofill where available. The expiry countdown is based on the time the code was sent, so it keeps running while the user is in the mail app.</t>
  </si>
  <si>
    <t xml:space="preserve">M4</t>
  </si>
  <si>
    <t xml:space="preserve">Interruptions</t>
  </si>
  <si>
    <t xml:space="preserve">Sending the app to the background (Home, switching apps, an incoming call, locking the screen) and returning keeps the current screen and the typed values (passwords may be cleared). Rotating the phone is either blocked (portrait only) or keeps every value. Nothing is submitted unless the user taps the button.</t>
  </si>
  <si>
    <t xml:space="preserve">M5</t>
  </si>
  <si>
    <t xml:space="preserve">No internet or a dropped connection</t>
  </si>
  <si>
    <t xml:space="preserve">With no connection the app shows a clear no-internet message with Retry, never crashes or freezes, and never shows success for something the server did not save. Saving an action offline and sending it later is allowed only if the app shows it as pending, and it is sent exactly once. Write in column D whether your app blocks or queues offline actions.</t>
  </si>
  <si>
    <t xml:space="preserve">M6</t>
  </si>
  <si>
    <t xml:space="preserve">Phone permissions</t>
  </si>
  <si>
    <t xml:space="preserve">Camera, photos/files, location and notifications are requested only when first needed, with a reason. If a permission is denied, the app explains why it is needed, offers a link to the phone's Settings, keeps working for everything that does not need it, and never crashes.</t>
  </si>
  <si>
    <t xml:space="preserve">M7</t>
  </si>
  <si>
    <t xml:space="preserve">Picking and capturing files</t>
  </si>
  <si>
    <t xml:space="preserve">Each upload offers Camera, Gallery/Photos and, for PDFs, Files. The type and size rules (A10 / A16) apply to every source. Camera photos larger than 5 MB are compressed to 5 MB or less before upload. Copy the Test Files to the phone before testing.</t>
  </si>
  <si>
    <t xml:space="preserve">M8</t>
  </si>
  <si>
    <t xml:space="preserve">Back navigation</t>
  </si>
  <si>
    <t xml:space="preserve">The Android Back button and iOS swipe-back go to the previous screen. Leaving a form with unsaved changes asks the user to confirm discarding them. After logging out, Back never shows a logged-in screen.</t>
  </si>
  <si>
    <t xml:space="preserve">M9</t>
  </si>
  <si>
    <t xml:space="preserve">Login session on the phone</t>
  </si>
  <si>
    <t xml:space="preserve">The app stays logged in after it is closed, reopened or the phone restarts, until the user logs out, the password is changed (which also ends the session on the user's other phones), or the session token expires.</t>
  </si>
  <si>
    <t xml:space="preserve">M10</t>
  </si>
  <si>
    <t xml:space="preserve">Push notifications</t>
  </si>
  <si>
    <t xml:space="preserve">Status changes, approvals and chat messages also send a push notification to the phone of each user involved, and to no one else. Tapping a notification opens the related screen, even if the app was closed. If notifications are turned off in phone Settings, the in-app notification list still works.</t>
  </si>
  <si>
    <t xml:space="preserve">M11</t>
  </si>
  <si>
    <t xml:space="preserve">Deep links and direct requests</t>
  </si>
  <si>
    <t xml:space="preserve">Share links and email links (activation, product, store) open the matching screen in the app, or a mobile web page if the app is not installed. Access rules are enforced by the server: a deep link or a direct API request for another role's or another user's data is refused (401/403, an access-denied screen or a redirect to home). Cases that capture or send a request directly need a proxy tool on the test phone (for example HTTP Toolkit, Charles or mitmproxy). If your group cannot capture app traffic, mark those cases Blocked and write 'no proxy' in Remarks.</t>
  </si>
  <si>
    <t xml:space="preserve">M12</t>
  </si>
  <si>
    <t xml:space="preserve">Screen size and display</t>
  </si>
  <si>
    <t xml:space="preserve">Every screen works on a small phone (about 5.5 in) and a large one (about 6.7 in), in light and dark mode, and with the largest system font: no cut-off text, no overlapping controls, and no buttons hidden behind the keyboard.</t>
  </si>
  <si>
    <t xml:space="preserve">M13</t>
  </si>
  <si>
    <t xml:space="preserve">Rider location</t>
  </si>
  <si>
    <t xml:space="preserve">The rider app needs location permission to go Online and sends the rider's location while Online. If location is turned off, or the app is closed for more than 5 minutes, the rider receives no new offers and is shown as Offline. Navigate opens the phone's map app (Google Maps or Waze).</t>
  </si>
  <si>
    <t xml:space="preserve">M14</t>
  </si>
  <si>
    <t xml:space="preserve">Scanning and proof photos</t>
  </si>
  <si>
    <t xml:space="preserve">Waybill barcodes are scanned with the phone camera (with a flashlight toggle), and every scan screen also lets the user type the tracking number. Proof-of-delivery and damage photos are taken live with the in-app camera; old photos from the gallery are not accepted.</t>
  </si>
  <si>
    <t xml:space="preserve">Test data</t>
  </si>
  <si>
    <t xml:space="preserve">Shared by all five module workbooks. All people, stores, numbers and addresses are fictional. Seed these products, vouchers and rates before testing, or replace them with your own and update the Test Data column on the module sheets.</t>
  </si>
  <si>
    <t xml:space="preserve">Accounts (created in the Account Creation test set)</t>
  </si>
  <si>
    <t xml:space="preserve">Role</t>
  </si>
  <si>
    <t xml:space="preserve">Name / store</t>
  </si>
  <si>
    <t xml:space="preserve">Login email</t>
  </si>
  <si>
    <t xml:space="preserve">Password</t>
  </si>
  <si>
    <t xml:space="preserve">Status / notes</t>
  </si>
  <si>
    <t xml:space="preserve">Buyer 1</t>
  </si>
  <si>
    <t xml:space="preserve">Buyer</t>
  </si>
  <si>
    <t xml:space="preserve">Juan Miguel Dela Cruz</t>
  </si>
  <si>
    <t xml:space="preserve">juanmiguel.delacruz@example.com</t>
  </si>
  <si>
    <t xml:space="preserve">Mamimili@2026</t>
  </si>
  <si>
    <t xml:space="preserve">Active. Main buyer.</t>
  </si>
  <si>
    <t xml:space="preserve">Buyer 2</t>
  </si>
  <si>
    <t xml:space="preserve">Ana Marie Reyes</t>
  </si>
  <si>
    <t xml:space="preserve">anamarie.reyes@example.com</t>
  </si>
  <si>
    <t xml:space="preserve">Suki#2026Ana</t>
  </si>
  <si>
    <t xml:space="preserve">Active. Second buyer for concurrency and access tests.</t>
  </si>
  <si>
    <t xml:space="preserve">Seller 1</t>
  </si>
  <si>
    <t xml:space="preserve">Seller</t>
  </si>
  <si>
    <t xml:space="preserve">Maria Clara Handicrafts (Maria Clara Santos)</t>
  </si>
  <si>
    <t xml:space="preserve">mariaclara.santos@example.com</t>
  </si>
  <si>
    <t xml:space="preserve">Tindahan@2026</t>
  </si>
  <si>
    <t xml:space="preserve">Approved. Pickup: Commonwealth, Quezon City (NCR). Main seller.</t>
  </si>
  <si>
    <t xml:space="preserve">Seller 2</t>
  </si>
  <si>
    <t xml:space="preserve">RV Gadget Hub (Roberto Villanueva)</t>
  </si>
  <si>
    <t xml:space="preserve">roberto.villanueva@example.com</t>
  </si>
  <si>
    <t xml:space="preserve">Gadget#Hub26</t>
  </si>
  <si>
    <t xml:space="preserve">Approved. Pickup: Lahug, Cebu City (Visayas).</t>
  </si>
  <si>
    <t xml:space="preserve">Seller 3</t>
  </si>
  <si>
    <t xml:space="preserve">Tindahan ni Lola (test)</t>
  </si>
  <si>
    <t xml:space="preserve">seller.test01@example.com</t>
  </si>
  <si>
    <t xml:space="preserve">Pending Approval. For the unverified-seller cases.</t>
  </si>
  <si>
    <t xml:space="preserve">Logistics 1</t>
  </si>
  <si>
    <t xml:space="preserve">Logistics</t>
  </si>
  <si>
    <t xml:space="preserve">Bilis Hatid Express Inc. (Carlos Antonio Mendoza)</t>
  </si>
  <si>
    <t xml:space="preserve">operations@bilishatid.example.com</t>
  </si>
  <si>
    <t xml:space="preserve">Hatid@2026</t>
  </si>
  <si>
    <t xml:space="preserve">Approved. Serves NCR and CALABARZON. Main logistics account.</t>
  </si>
  <si>
    <t xml:space="preserve">Logistics 2</t>
  </si>
  <si>
    <t xml:space="preserve">Agila Cargo Movers Corp. (Liza Mae Fernandez)</t>
  </si>
  <si>
    <t xml:space="preserve">admin@agilacargo.example.com</t>
  </si>
  <si>
    <t xml:space="preserve">Agila#Cargo26</t>
  </si>
  <si>
    <t xml:space="preserve">Approved. Serves Davao. Used for cross-company access tests.</t>
  </si>
  <si>
    <t xml:space="preserve">Rider 1</t>
  </si>
  <si>
    <t xml:space="preserve">Rider</t>
  </si>
  <si>
    <t xml:space="preserve">Pedro Jose Garcia (Motorcycle, 123ABC)</t>
  </si>
  <si>
    <t xml:space="preserve">pedrojose.garcia@example.com</t>
  </si>
  <si>
    <t xml:space="preserve">Rider@2026</t>
  </si>
  <si>
    <t xml:space="preserve">Active, under Logistics 1. Main rider.</t>
  </si>
  <si>
    <t xml:space="preserve">Rider 2</t>
  </si>
  <si>
    <t xml:space="preserve">Mark Anthony Bautista (Van, NBC1234)</t>
  </si>
  <si>
    <t xml:space="preserve">markanthony.bautista@example.com</t>
  </si>
  <si>
    <t xml:space="preserve">Hatid#Mark26</t>
  </si>
  <si>
    <t xml:space="preserve">Active, under Logistics 1. Second rider for concurrency tests.</t>
  </si>
  <si>
    <t xml:space="preserve">Rider 3</t>
  </si>
  <si>
    <t xml:space="preserve">Ramon Cruz (Motorcycle, 456DEF)</t>
  </si>
  <si>
    <t xml:space="preserve">rider.test01@example.com</t>
  </si>
  <si>
    <t xml:space="preserve">Suspended by Logistics 1. For blocked-rider cases.</t>
  </si>
  <si>
    <t xml:space="preserve">Admin</t>
  </si>
  <si>
    <t xml:space="preserve">Seeded admin</t>
  </si>
  <si>
    <t xml:space="preserve">Use the admin account already seeded in your system</t>
  </si>
  <si>
    <t xml:space="preserve">Creates platform vouchers PLAT100 and FREESHIP.</t>
  </si>
  <si>
    <t xml:space="preserve">Buyer addresses</t>
  </si>
  <si>
    <t xml:space="preserve">Owner</t>
  </si>
  <si>
    <t xml:space="preserve">Label</t>
  </si>
  <si>
    <t xml:space="preserve">Address</t>
  </si>
  <si>
    <t xml:space="preserve">Recipient / phone</t>
  </si>
  <si>
    <t xml:space="preserve">Notes</t>
  </si>
  <si>
    <t xml:space="preserve">ADDR-1</t>
  </si>
  <si>
    <t xml:space="preserve">Home (default)</t>
  </si>
  <si>
    <t xml:space="preserve">45 Kalayaan Ave., Brgy. Central, Quezon City, Metro Manila, NCR 1100</t>
  </si>
  <si>
    <t xml:space="preserve">Juan Miguel Dela Cruz / 09171234567</t>
  </si>
  <si>
    <t xml:space="preserve">Zone NCR</t>
  </si>
  <si>
    <t xml:space="preserve">ADDR-2</t>
  </si>
  <si>
    <t xml:space="preserve">Office</t>
  </si>
  <si>
    <t xml:space="preserve">12F Pacific Tower, 6750 Ayala Ave., Brgy. San Lorenzo, Makati City, Metro Manila, NCR 1223</t>
  </si>
  <si>
    <t xml:space="preserve">ADDR-3</t>
  </si>
  <si>
    <t xml:space="preserve">78 Osmeña Blvd., Brgy. Capitol Site, Cebu City, Cebu, Region VII 6000</t>
  </si>
  <si>
    <t xml:space="preserve">Ana Marie Reyes / 09173456789</t>
  </si>
  <si>
    <t xml:space="preserve">Zone Visayas</t>
  </si>
  <si>
    <t xml:space="preserve">ADDR-4</t>
  </si>
  <si>
    <t xml:space="preserve">Province</t>
  </si>
  <si>
    <t xml:space="preserve">Purok 2, Brgy. Raele, Itbayat, Batanes, Region II 3905</t>
  </si>
  <si>
    <t xml:space="preserve">Unserviceable area (no logistics zone covers it)</t>
  </si>
  <si>
    <t xml:space="preserve">Store categories (Seller 1)</t>
  </si>
  <si>
    <t xml:space="preserve">Category</t>
  </si>
  <si>
    <t xml:space="preserve">Parent</t>
  </si>
  <si>
    <t xml:space="preserve">Visible</t>
  </si>
  <si>
    <t xml:space="preserve">Products</t>
  </si>
  <si>
    <t xml:space="preserve">CAT-1</t>
  </si>
  <si>
    <t xml:space="preserve">Bags</t>
  </si>
  <si>
    <t xml:space="preserve">Yes</t>
  </si>
  <si>
    <t xml:space="preserve">P-01</t>
  </si>
  <si>
    <t xml:space="preserve">CAT-2</t>
  </si>
  <si>
    <t xml:space="preserve">Home Decor</t>
  </si>
  <si>
    <t xml:space="preserve">Parent category</t>
  </si>
  <si>
    <t xml:space="preserve">CAT-3</t>
  </si>
  <si>
    <t xml:space="preserve">Lamps</t>
  </si>
  <si>
    <t xml:space="preserve">P-03</t>
  </si>
  <si>
    <t xml:space="preserve">Subcategory (level 2)</t>
  </si>
  <si>
    <t xml:space="preserve">CAT-4</t>
  </si>
  <si>
    <t xml:space="preserve">Baskets</t>
  </si>
  <si>
    <t xml:space="preserve">P-02</t>
  </si>
  <si>
    <t xml:space="preserve">CAT-5</t>
  </si>
  <si>
    <t xml:space="preserve">Kitchen &amp; Dining</t>
  </si>
  <si>
    <t xml:space="preserve">P-04</t>
  </si>
  <si>
    <t xml:space="preserve">Product</t>
  </si>
  <si>
    <t xml:space="preserve">Price / variants</t>
  </si>
  <si>
    <t xml:space="preserve">Stock</t>
  </si>
  <si>
    <t xml:space="preserve">Weight and size / other</t>
  </si>
  <si>
    <t xml:space="preserve">Abaca Woven Tote Bag</t>
  </si>
  <si>
    <t xml:space="preserve">Color: Natural, Black × Size: S ₱199, M ₱249, L ₱299 (6 variants). SKU MCH-TOTE-&lt;COLOR&gt;-&lt;SIZE&gt;</t>
  </si>
  <si>
    <t xml:space="preserve">Natural-S 10, Natural-M 8, Natural-L 5, Black-S 10, Black-M 0, Black-L 3</t>
  </si>
  <si>
    <t xml:space="preserve">0.4 kg; 40 × 35 × 5 cm. Platform category: Women's Bags</t>
  </si>
  <si>
    <t xml:space="preserve">Rattan Fruit Basket</t>
  </si>
  <si>
    <t xml:space="preserve">₱450.00 (no variants)</t>
  </si>
  <si>
    <t xml:space="preserve">20</t>
  </si>
  <si>
    <t xml:space="preserve">0.8 kg; 30 × 30 × 15 cm. Platform category: Home &amp; Living</t>
  </si>
  <si>
    <t xml:space="preserve">Capiz Shell Lamp</t>
  </si>
  <si>
    <t xml:space="preserve">₱1,250.00</t>
  </si>
  <si>
    <t xml:space="preserve">1 (for the oversell case)</t>
  </si>
  <si>
    <t xml:space="preserve">1.5 kg; 30 × 30 × 40 cm</t>
  </si>
  <si>
    <t xml:space="preserve">Banig Placemat Set of 4</t>
  </si>
  <si>
    <t xml:space="preserve">₱350.00</t>
  </si>
  <si>
    <t xml:space="preserve">0 (out of stock)</t>
  </si>
  <si>
    <t xml:space="preserve">0.5 kg</t>
  </si>
  <si>
    <t xml:space="preserve">P-05</t>
  </si>
  <si>
    <t xml:space="preserve">USB-C Fast Charger 20W</t>
  </si>
  <si>
    <t xml:space="preserve">₱399.00</t>
  </si>
  <si>
    <t xml:space="preserve">50</t>
  </si>
  <si>
    <t xml:space="preserve">0.2 kg; 10 × 8 × 5 cm</t>
  </si>
  <si>
    <t xml:space="preserve">P-06</t>
  </si>
  <si>
    <t xml:space="preserve">Wireless Earbuds X2</t>
  </si>
  <si>
    <t xml:space="preserve">Color: Black, White; ₱1,499.00 each</t>
  </si>
  <si>
    <t xml:space="preserve">Black 10, White 10</t>
  </si>
  <si>
    <t xml:space="preserve">0.3 kg</t>
  </si>
  <si>
    <t xml:space="preserve">P-07</t>
  </si>
  <si>
    <t xml:space="preserve">Power Bank 10000mAh</t>
  </si>
  <si>
    <t xml:space="preserve">₱899.00; per-buyer purchase limit 2</t>
  </si>
  <si>
    <t xml:space="preserve">5</t>
  </si>
  <si>
    <t xml:space="preserve">0.4 kg</t>
  </si>
  <si>
    <t xml:space="preserve">Vouchers</t>
  </si>
  <si>
    <t xml:space="preserve">Code</t>
  </si>
  <si>
    <t xml:space="preserve">Owner / funded by</t>
  </si>
  <si>
    <t xml:space="preserve">Type</t>
  </si>
  <si>
    <t xml:space="preserve">Rule</t>
  </si>
  <si>
    <t xml:space="preserve">Limits / validity</t>
  </si>
  <si>
    <t xml:space="preserve">Display</t>
  </si>
  <si>
    <t xml:space="preserve">MCH50</t>
  </si>
  <si>
    <t xml:space="preserve">Seller 1 / seller</t>
  </si>
  <si>
    <t xml:space="preserve">Fixed ₱50 off</t>
  </si>
  <si>
    <t xml:space="preserve">Min spend ₱300; all Seller 1 products</t>
  </si>
  <si>
    <t xml:space="preserve">100 total, 1 per buyer; valid this month</t>
  </si>
  <si>
    <t xml:space="preserve">Claimable</t>
  </si>
  <si>
    <t xml:space="preserve">MCH10</t>
  </si>
  <si>
    <t xml:space="preserve">10% off, cap ₱100</t>
  </si>
  <si>
    <t xml:space="preserve">Min spend ₱500</t>
  </si>
  <si>
    <t xml:space="preserve">50 total, 1 per buyer; valid this month</t>
  </si>
  <si>
    <t xml:space="preserve">RVSECRET</t>
  </si>
  <si>
    <t xml:space="preserve">Seller 2 / seller</t>
  </si>
  <si>
    <t xml:space="preserve">Fixed ₱100 off</t>
  </si>
  <si>
    <t xml:space="preserve">Min spend ₱1,000</t>
  </si>
  <si>
    <t xml:space="preserve">20 total, 1 per buyer</t>
  </si>
  <si>
    <t xml:space="preserve">Code-only (hidden)</t>
  </si>
  <si>
    <t xml:space="preserve">MCHOLD</t>
  </si>
  <si>
    <t xml:space="preserve">Fixed ₱30 off</t>
  </si>
  <si>
    <t xml:space="preserve">Min spend ₱200</t>
  </si>
  <si>
    <t xml:space="preserve">Expired yesterday</t>
  </si>
  <si>
    <t xml:space="preserve">MCHSOON</t>
  </si>
  <si>
    <t xml:space="preserve">Starts tomorrow</t>
  </si>
  <si>
    <t xml:space="preserve">MCHMAX</t>
  </si>
  <si>
    <t xml:space="preserve">Fixed ₱20 off</t>
  </si>
  <si>
    <t xml:space="preserve">Min spend ₱100</t>
  </si>
  <si>
    <t xml:space="preserve">Total usage limit 1, already used by Buyer 2</t>
  </si>
  <si>
    <t xml:space="preserve">PLAT100</t>
  </si>
  <si>
    <t xml:space="preserve">Admin / platform</t>
  </si>
  <si>
    <t xml:space="preserve">Min spend ₱1,000 (whole order)</t>
  </si>
  <si>
    <t xml:space="preserve">1 per buyer</t>
  </si>
  <si>
    <t xml:space="preserve">FREESHIP</t>
  </si>
  <si>
    <t xml:space="preserve">Shipping, up to ₱50 off</t>
  </si>
  <si>
    <t xml:space="preserve">Min spend ₱300</t>
  </si>
  <si>
    <t xml:space="preserve">Shipping rate table (test rates)</t>
  </si>
  <si>
    <t xml:space="preserve">Route</t>
  </si>
  <si>
    <t xml:space="preserve">First kg</t>
  </si>
  <si>
    <t xml:space="preserve">Each additional kg</t>
  </si>
  <si>
    <t xml:space="preserve">Example</t>
  </si>
  <si>
    <t xml:space="preserve">Within NCR</t>
  </si>
  <si>
    <t xml:space="preserve">₱50.00</t>
  </si>
  <si>
    <t xml:space="preserve">₱15.00</t>
  </si>
  <si>
    <t xml:space="preserve">1.2 kg → 2 kg → ₱65.00</t>
  </si>
  <si>
    <t xml:space="preserve">Seller 1 to ADDR-1 or ADDR-2</t>
  </si>
  <si>
    <t xml:space="preserve">Visayas to NCR</t>
  </si>
  <si>
    <t xml:space="preserve">₱120.00</t>
  </si>
  <si>
    <t xml:space="preserve">₱40.00</t>
  </si>
  <si>
    <t xml:space="preserve">0.2 kg → 1 kg → ₱120.00</t>
  </si>
  <si>
    <t xml:space="preserve">Seller 2 to ADDR-1</t>
  </si>
  <si>
    <t xml:space="preserve">NCR to Visayas</t>
  </si>
  <si>
    <t xml:space="preserve">0.4 kg → 1 kg → ₱120.00</t>
  </si>
  <si>
    <t xml:space="preserve">Seller 1 to ADDR-3</t>
  </si>
  <si>
    <t xml:space="preserve">Within Visayas</t>
  </si>
  <si>
    <t xml:space="preserve">₱60.00</t>
  </si>
  <si>
    <t xml:space="preserve">₱20.00</t>
  </si>
  <si>
    <t xml:space="preserve">Seller 2 to ADDR-3</t>
  </si>
  <si>
    <t xml:space="preserve">Worked checkout example (used in Buyer B7/B8, Seller S12 and Cross-cutting X3)</t>
  </si>
  <si>
    <t xml:space="preserve">Line</t>
  </si>
  <si>
    <t xml:space="preserve">Item</t>
  </si>
  <si>
    <t xml:space="preserve">Amount</t>
  </si>
  <si>
    <t xml:space="preserve">How it is calculated</t>
  </si>
  <si>
    <t xml:space="preserve">1</t>
  </si>
  <si>
    <t xml:space="preserve">Seller 1: Abaca Tote Natural-M × 1 + Rattan Basket × 1</t>
  </si>
  <si>
    <t xml:space="preserve">₱699.00</t>
  </si>
  <si>
    <t xml:space="preserve">249 + 450</t>
  </si>
  <si>
    <t xml:space="preserve">2</t>
  </si>
  <si>
    <t xml:space="preserve">Seller 2: USB-C Charger × 1</t>
  </si>
  <si>
    <t xml:space="preserve">3</t>
  </si>
  <si>
    <t xml:space="preserve">Merchandise subtotal</t>
  </si>
  <si>
    <t xml:space="preserve">₱1,098.00</t>
  </si>
  <si>
    <t xml:space="preserve">699 + 399</t>
  </si>
  <si>
    <t xml:space="preserve">4</t>
  </si>
  <si>
    <t xml:space="preserve">Shipping, Seller 1 (1.2 kg, within NCR)</t>
  </si>
  <si>
    <t xml:space="preserve">₱65.00</t>
  </si>
  <si>
    <t xml:space="preserve">50 + 15</t>
  </si>
  <si>
    <t xml:space="preserve">Shipping, Seller 2 (0.2 kg, Visayas to NCR)</t>
  </si>
  <si>
    <t xml:space="preserve">6</t>
  </si>
  <si>
    <t xml:space="preserve">Store voucher MCH50 (Seller 1)</t>
  </si>
  <si>
    <t xml:space="preserve">−₱50.00</t>
  </si>
  <si>
    <t xml:space="preserve">Seller 1 subtotal 699 ≥ 300</t>
  </si>
  <si>
    <t xml:space="preserve">7</t>
  </si>
  <si>
    <t xml:space="preserve">Platform voucher PLAT100</t>
  </si>
  <si>
    <t xml:space="preserve">−₱100.00</t>
  </si>
  <si>
    <t xml:space="preserve">Order subtotal 1,098 ≥ 1,000</t>
  </si>
  <si>
    <t xml:space="preserve">8</t>
  </si>
  <si>
    <t xml:space="preserve">Shipping voucher FREESHIP</t>
  </si>
  <si>
    <t xml:space="preserve">Capped at ₱50</t>
  </si>
  <si>
    <t xml:space="preserve">9</t>
  </si>
  <si>
    <t xml:space="preserve">Total to pay</t>
  </si>
  <si>
    <t xml:space="preserve">₱1,083.00</t>
  </si>
  <si>
    <t xml:space="preserve">1,098 + 185 − 50 − 100 − 50</t>
  </si>
  <si>
    <t xml:space="preserve">10</t>
  </si>
  <si>
    <t xml:space="preserve">Seller 1 net earnings for this order</t>
  </si>
  <si>
    <t xml:space="preserve">₱616.55</t>
  </si>
  <si>
    <t xml:space="preserve">(699 − 50) = 649 gross after seller vouchers; 5% commission = 32.45</t>
  </si>
  <si>
    <t xml:space="preserve">11</t>
  </si>
  <si>
    <t xml:space="preserve">Seller 2 net earnings for this order</t>
  </si>
  <si>
    <t xml:space="preserve">₱379.05</t>
  </si>
  <si>
    <t xml:space="preserve">399 − 5% commission (19.95)</t>
  </si>
  <si>
    <t xml:space="preserve">Other values</t>
  </si>
  <si>
    <t xml:space="preserve">Value</t>
  </si>
  <si>
    <t xml:space="preserve">Delivery OTP</t>
  </si>
  <si>
    <t xml:space="preserve">Shown in Buyer 1's order screen when Out for Delivery</t>
  </si>
  <si>
    <t xml:space="preserve">6 digits (A32)</t>
  </si>
  <si>
    <t xml:space="preserve">₱50.00 per delivery, ₱30.00 per pickup, ₱0.00 per failed attempt</t>
  </si>
  <si>
    <t xml:space="preserve">PLAT100 split (worked example)</t>
  </si>
  <si>
    <t xml:space="preserve">Seller 1 order ₱63.66; Seller 2 order ₱36.34</t>
  </si>
  <si>
    <t xml:space="preserve">100 × 699/1,098 and 100 × 399/1,098 (A8)</t>
  </si>
  <si>
    <t xml:space="preserve">Spare emails</t>
  </si>
  <si>
    <t xml:space="preserve">buyer.test01@example.com to buyer.test10@example.com</t>
  </si>
  <si>
    <t xml:space="preserve">Same pattern for seller.test, logistics.test, rider.test</t>
  </si>
  <si>
    <t xml:space="preserve">Spare mobile numbers</t>
  </si>
  <si>
    <t xml:space="preserve">09170000001 to 09170000020</t>
  </si>
  <si>
    <t xml:space="preserve">Long text samples</t>
  </si>
  <si>
    <t xml:space="preserve">Generate with any 'lorem ipsum' tool to the exact character count</t>
  </si>
  <si>
    <t xml:space="preserve">Check the count in a character counter before pasting</t>
  </si>
  <si>
    <t xml:space="preserve">Script and injection strings</t>
  </si>
  <si>
    <t xml:space="preserve">&lt;script&gt;alert(1)&lt;/script&gt;
' OR '1'='1
"&gt;&lt;img src=x onerror=alert(1)&gt;</t>
  </si>
  <si>
    <t xml:space="preserve">Must be shown as text and never run</t>
  </si>
  <si>
    <t xml:space="preserve">Couriers (created in the Account Creation test set)</t>
  </si>
  <si>
    <t xml:space="preserve">Courier 1</t>
  </si>
  <si>
    <t xml:space="preserve">Courier</t>
  </si>
  <si>
    <t xml:space="preserve">Ernesto Villareal (4-Wheeler Closed Van Truck, NAB4521, 3,000 kg)</t>
  </si>
  <si>
    <t xml:space="preserve">ernesto.villareal@example.com</t>
  </si>
  <si>
    <t xml:space="preserve">Courier@2026</t>
  </si>
  <si>
    <t xml:space="preserve">Active, under Logistics 1, home hub HUB-QC. Main courier.</t>
  </si>
  <si>
    <t xml:space="preserve">Courier 2</t>
  </si>
  <si>
    <t xml:space="preserve">Rogelio Dimaculangan (Van, CAV7788, 800 kg)</t>
  </si>
  <si>
    <t xml:space="preserve">rogelio.dimaculangan@example.com</t>
  </si>
  <si>
    <t xml:space="preserve">Linehaul#Rog26</t>
  </si>
  <si>
    <t xml:space="preserve">Active, under Logistics 1, home hub HUB-PSG. Second courier for reassignment tests.</t>
  </si>
  <si>
    <t xml:space="preserve">Courier 3</t>
  </si>
  <si>
    <t xml:space="preserve">Danilo Ramos (Van, DAN3030, 800 kg)</t>
  </si>
  <si>
    <t xml:space="preserve">courier.test01@example.com</t>
  </si>
  <si>
    <t xml:space="preserve">Suspended by Logistics 1. For blocked-courier cases.</t>
  </si>
  <si>
    <t xml:space="preserve">Courier 4</t>
  </si>
  <si>
    <t xml:space="preserve">Joel Abellana (Van, AGL5050, 800 kg)</t>
  </si>
  <si>
    <t xml:space="preserve">courier.test02@example.com</t>
  </si>
  <si>
    <t xml:space="preserve">Active, under Logistics 2, home hub HUB-DVO. For cross-company cases.</t>
  </si>
  <si>
    <t xml:space="preserve">Hubs</t>
  </si>
  <si>
    <t xml:space="preserve">Hub</t>
  </si>
  <si>
    <t xml:space="preserve">Logistics company</t>
  </si>
  <si>
    <t xml:space="preserve">Serves</t>
  </si>
  <si>
    <t xml:space="preserve">HUB-QC</t>
  </si>
  <si>
    <t xml:space="preserve">Bilis Hatid QC First-Mile Hub</t>
  </si>
  <si>
    <t xml:space="preserve">1200 Commonwealth Ave., Brgy. Holy Spirit, Quezon City, NCR 1127</t>
  </si>
  <si>
    <t xml:space="preserve">Pickups from Quezon City sellers (Seller 1); deliveries to Quezon City (ADDR-1)</t>
  </si>
  <si>
    <t xml:space="preserve">Origin hub of TRIP-1</t>
  </si>
  <si>
    <t xml:space="preserve">HUB-PSG</t>
  </si>
  <si>
    <t xml:space="preserve">Bilis Hatid Pasig Main Hub</t>
  </si>
  <si>
    <t xml:space="preserve">Unit 5B, 88 West Capitol Drive, Brgy. Kapitolyo, Pasig City, NCR 1603</t>
  </si>
  <si>
    <t xml:space="preserve">Deliveries to Makati, Pasig and Mandaluyong (ADDR-2)</t>
  </si>
  <si>
    <t xml:space="preserve">Destination hub of TRIP-1</t>
  </si>
  <si>
    <t xml:space="preserve">HUB-STR</t>
  </si>
  <si>
    <t xml:space="preserve">Bilis Hatid Sta. Rosa Hub</t>
  </si>
  <si>
    <t xml:space="preserve">Lot 3, Balibago Complex, Brgy. Balibago, Santa Rosa, Laguna 4026</t>
  </si>
  <si>
    <t xml:space="preserve">CALABARZON deliveries</t>
  </si>
  <si>
    <t xml:space="preserve">Used for wrong-hub cases</t>
  </si>
  <si>
    <t xml:space="preserve">HUB-DVO</t>
  </si>
  <si>
    <t xml:space="preserve">Agila Davao Hub</t>
  </si>
  <si>
    <t xml:space="preserve">Door 3, 210 Sampaguita St., Brgy. Buhangin, Davao City 8000</t>
  </si>
  <si>
    <t xml:space="preserve">Davao deliveries</t>
  </si>
  <si>
    <t xml:space="preserve">Used for cross-company cases</t>
  </si>
  <si>
    <t xml:space="preserve">Linehaul trip and courier values</t>
  </si>
  <si>
    <t xml:space="preserve">Details</t>
  </si>
  <si>
    <t xml:space="preserve">Weight</t>
  </si>
  <si>
    <t xml:space="preserve">TRIP-1</t>
  </si>
  <si>
    <t xml:space="preserve">Linehaul trip</t>
  </si>
  <si>
    <t xml:space="preserve">HUB-QC → HUB-PSG</t>
  </si>
  <si>
    <t xml:space="preserve">5 COD parcels from Seller 1 to ADDR-2 (Buyer 1, Makati): 4 orders of 1 × P-02 and 1 order of 1 × P-01 Natural-M</t>
  </si>
  <si>
    <t xml:space="preserve">3.6 kg (4 × 0.8 + 0.4)</t>
  </si>
  <si>
    <t xml:space="preserve">Courier 1; seal BH-0004521; pay ₱1,000.00</t>
  </si>
  <si>
    <t xml:space="preserve">P-08</t>
  </si>
  <si>
    <t xml:space="preserve">Load-test product (Seller 1)</t>
  </si>
  <si>
    <t xml:space="preserve">Narra Coffee Table, ₱4,500.00, stock 50</t>
  </si>
  <si>
    <t xml:space="preserve">Seed only for the trip-capacity case</t>
  </si>
  <si>
    <t xml:space="preserve">25.0 kg each</t>
  </si>
  <si>
    <t xml:space="preserve">4 parcels = 100.0 kg</t>
  </si>
  <si>
    <t xml:space="preserve">Courier pay</t>
  </si>
  <si>
    <t xml:space="preserve">Per completed trip</t>
  </si>
  <si>
    <t xml:space="preserve">Van ₱600.00; 4-Wheeler Closed Van Truck ₱1,000.00; 6-Wheeler Truck ₱1,500.00</t>
  </si>
  <si>
    <t xml:space="preserve">Declined, cancelled or reassigned-away trips ₱0.00</t>
  </si>
  <si>
    <t xml:space="preserve">Seal number</t>
  </si>
  <si>
    <t xml:space="preserve">Format</t>
  </si>
  <si>
    <t xml:space="preserve">BH- followed by 7 digits</t>
  </si>
  <si>
    <t xml:space="preserve">Example: BH-0004521</t>
  </si>
  <si>
    <t xml:space="preserve">Pre-trip checklist</t>
  </si>
  <si>
    <t xml:space="preserve">Items</t>
  </si>
  <si>
    <t xml:space="preserve">Tires, Lights, Brakes, Fuel, Cargo door lock</t>
  </si>
  <si>
    <t xml:space="preserve">Each OK or Not OK; Not OK needs a note</t>
  </si>
  <si>
    <t xml:space="preserve">Spare couriers</t>
  </si>
  <si>
    <t xml:space="preserve">Emails and mobiles</t>
  </si>
  <si>
    <t xml:space="preserve">courier.test03@example.com to courier.test10@example.com</t>
  </si>
  <si>
    <t xml:space="preserve">09170000021 to 09170000025</t>
  </si>
  <si>
    <t xml:space="preserve">Upload files to prepare</t>
  </si>
  <si>
    <t xml:space="preserve">Prepare these files before testing uploads. Use sample images only. The size limit is 5 MB, which is 5,120 KB or 5,242,880 bytes. Copy every file to the test phone before testing: PDFs and other documents to Files / Downloads, and images to Photos (gallery) so they can be picked from either place.</t>
  </si>
  <si>
    <t xml:space="preserve">File name</t>
  </si>
  <si>
    <t xml:space="preserve">Size</t>
  </si>
  <si>
    <t xml:space="preserve">Used for</t>
  </si>
  <si>
    <t xml:space="preserve">Expected result</t>
  </si>
  <si>
    <t xml:space="preserve">product_front.jpg</t>
  </si>
  <si>
    <t xml:space="preserve">JPG</t>
  </si>
  <si>
    <t xml:space="preserve">1.2 MB</t>
  </si>
  <si>
    <t xml:space="preserve">Product image</t>
  </si>
  <si>
    <t xml:space="preserve">Accept</t>
  </si>
  <si>
    <t xml:space="preserve">product_side.png</t>
  </si>
  <si>
    <t xml:space="preserve">PNG</t>
  </si>
  <si>
    <t xml:space="preserve">2.4 MB</t>
  </si>
  <si>
    <t xml:space="preserve">store_logo.png</t>
  </si>
  <si>
    <t xml:space="preserve">300 KB</t>
  </si>
  <si>
    <t xml:space="preserve">Store logo</t>
  </si>
  <si>
    <t xml:space="preserve">store_banner.jpg</t>
  </si>
  <si>
    <t xml:space="preserve">1.8 MB</t>
  </si>
  <si>
    <t xml:space="preserve">Store banner</t>
  </si>
  <si>
    <t xml:space="preserve">review_photo.jpg</t>
  </si>
  <si>
    <t xml:space="preserve">1.5 MB</t>
  </si>
  <si>
    <t xml:space="preserve">Review photo / return evidence / chat attachment</t>
  </si>
  <si>
    <t xml:space="preserve">return_video.mp4</t>
  </si>
  <si>
    <t xml:space="preserve">MP4</t>
  </si>
  <si>
    <t xml:space="preserve">8 MB</t>
  </si>
  <si>
    <t xml:space="preserve">Return evidence video (if videos are supported)</t>
  </si>
  <si>
    <t xml:space="preserve">Accept per your rule</t>
  </si>
  <si>
    <t xml:space="preserve">pod_photo.jpg</t>
  </si>
  <si>
    <t xml:space="preserve">1.1 MB</t>
  </si>
  <si>
    <t xml:space="preserve">Rider proof of delivery</t>
  </si>
  <si>
    <t xml:space="preserve">size_4.9MB.jpg</t>
  </si>
  <si>
    <t xml:space="preserve">4.9 MB (5,138,022 bytes)</t>
  </si>
  <si>
    <t xml:space="preserve">Just under the size limit</t>
  </si>
  <si>
    <t xml:space="preserve">size_5.0MB.jpg</t>
  </si>
  <si>
    <t xml:space="preserve">5.0 MB (5,242,880 bytes)</t>
  </si>
  <si>
    <t xml:space="preserve">Exactly at the size limit</t>
  </si>
  <si>
    <t xml:space="preserve">size_5.1MB.jpg</t>
  </si>
  <si>
    <t xml:space="preserve">5.1 MB (5,347,738 bytes)</t>
  </si>
  <si>
    <t xml:space="preserve">Just over the size limit</t>
  </si>
  <si>
    <t xml:space="preserve">Reject</t>
  </si>
  <si>
    <t xml:space="preserve">price_list.docx</t>
  </si>
  <si>
    <t xml:space="preserve">DOCX</t>
  </si>
  <si>
    <t xml:space="preserve">320 KB</t>
  </si>
  <si>
    <t xml:space="preserve">Wrong file type (Word document)</t>
  </si>
  <si>
    <t xml:space="preserve">installer.exe</t>
  </si>
  <si>
    <t xml:space="preserve">EXE</t>
  </si>
  <si>
    <t xml:space="preserve">2.1 MB</t>
  </si>
  <si>
    <t xml:space="preserve">Wrong file type (program)</t>
  </si>
  <si>
    <t xml:space="preserve">renamed_exe.jpg</t>
  </si>
  <si>
    <t xml:space="preserve">JPG (really an EXE)</t>
  </si>
  <si>
    <t xml:space="preserve">Program renamed to .jpg</t>
  </si>
  <si>
    <t xml:space="preserve">pro_license.jpg</t>
  </si>
  <si>
    <t xml:space="preserve">1.4 MB</t>
  </si>
  <si>
    <t xml:space="preserve">Courier's professional driver's license</t>
  </si>
  <si>
    <t xml:space="preserve">pro_license.png</t>
  </si>
  <si>
    <t xml:space="preserve">Courier's professional driver's license in PNG</t>
  </si>
  <si>
    <t xml:space="preserve">truck_or_cr.pdf</t>
  </si>
  <si>
    <t xml:space="preserve">PDF</t>
  </si>
  <si>
    <t xml:space="preserve">950 KB</t>
  </si>
  <si>
    <t xml:space="preserve">Courier's truck Official Receipt and Certificate of Registration</t>
  </si>
  <si>
    <t xml:space="preserve">nbi_clearance.pdf</t>
  </si>
  <si>
    <t xml:space="preserve">600 KB</t>
  </si>
  <si>
    <t xml:space="preserve">Courier's NBI Clearance</t>
  </si>
  <si>
    <t xml:space="preserve">incident_photo.jpg</t>
  </si>
  <si>
    <t xml:space="preserve">1.3 MB</t>
  </si>
  <si>
    <t xml:space="preserve">Courier breakdown report / damaged parcel at unloading</t>
  </si>
  <si>
    <t xml:space="preserve">(take with the phone camera)</t>
  </si>
  <si>
    <t xml:space="preserve">JPG / HEIC</t>
  </si>
  <si>
    <t xml:space="preserve">Often 3–12 MB at full resolution</t>
  </si>
  <si>
    <t xml:space="preserve">Camera photo taken inside the app</t>
  </si>
  <si>
    <t xml:space="preserve">Compressed to 5 MB or less and accepted, or rejected with a size message (M7)</t>
  </si>
  <si>
    <t xml:space="preserve">(screenshot taken on the phone)</t>
  </si>
  <si>
    <t xml:space="preserve">Usually under 1 MB</t>
  </si>
  <si>
    <t xml:space="preserve">Image picked from the gallery</t>
  </si>
  <si>
    <t xml:space="preserve">Test Case ID</t>
  </si>
  <si>
    <t xml:space="preserve">Module</t>
  </si>
  <si>
    <t xml:space="preserve">Test Scenario</t>
  </si>
  <si>
    <t xml:space="preserve">Technique</t>
  </si>
  <si>
    <t xml:space="preserve">Priority</t>
  </si>
  <si>
    <t xml:space="preserve">Preconditions</t>
  </si>
  <si>
    <t xml:space="preserve">Test Steps</t>
  </si>
  <si>
    <t xml:space="preserve">Test Data</t>
  </si>
  <si>
    <t xml:space="preserve">Expected Result</t>
  </si>
  <si>
    <t xml:space="preserve">Assumption Ref</t>
  </si>
  <si>
    <t xml:space="preserve">Actual Result</t>
  </si>
  <si>
    <t xml:space="preserve">Status</t>
  </si>
  <si>
    <t xml:space="preserve">Remarks</t>
  </si>
  <si>
    <t xml:space="preserve">BUY-ACCT-001</t>
  </si>
  <si>
    <t xml:space="preserve">Account &amp; Security</t>
  </si>
  <si>
    <t xml:space="preserve">Edit profile with valid data</t>
  </si>
  <si>
    <t xml:space="preserve">Medium</t>
  </si>
  <si>
    <t xml:space="preserve">Logged in as Buyer 1. My Profile is open.</t>
  </si>
  <si>
    <t xml:space="preserve">1. Change First Name to the test data and upload the photo.
2. Tap Save.
3. Pull to refresh, then log out and log back in.</t>
  </si>
  <si>
    <t xml:space="preserve">First Name: Juan Miguel Jr.
Photo: review_photo.jpg</t>
  </si>
  <si>
    <t xml:space="preserve">A success message is shown. After a pull-to-refresh and re-login the new name and photo are shown on the profile screen and the account (Me) tab. Email and phone are unchanged.</t>
  </si>
  <si>
    <t xml:space="preserve">BUY-ACCT-002</t>
  </si>
  <si>
    <t xml:space="preserve">Profile field validation</t>
  </si>
  <si>
    <t xml:space="preserve">1. Enter each value, one per attempt, and save.</t>
  </si>
  <si>
    <t xml:space="preserve">First Name: empty (reject)
First Name: Juan123 (reject)
First Name: J (reject)
Photo: size_5.1MB.jpg (reject)
Photo: renamed_exe.jpg (reject)</t>
  </si>
  <si>
    <t xml:space="preserve">Each is rejected with a field message; the saved profile is unchanged after a pull-to-refresh.</t>
  </si>
  <si>
    <t xml:space="preserve">BUY-ACCT-003</t>
  </si>
  <si>
    <t xml:space="preserve">Change password with the correct old password</t>
  </si>
  <si>
    <t xml:space="preserve">High</t>
  </si>
  <si>
    <t xml:space="preserve">Logged in as Buyer 1.</t>
  </si>
  <si>
    <t xml:space="preserve">1. Open Change Password and enter the test data.
2. Save.
3. Log out. Log in with the old password.
4. Log in with the new password.</t>
  </si>
  <si>
    <t xml:space="preserve">Old: Mamimili@2026
New: Mamimili@2027
Confirm: Mamimili@2027</t>
  </si>
  <si>
    <t xml:space="preserve">Password changes with a success message. The old password is rejected; the new one works.</t>
  </si>
  <si>
    <t xml:space="preserve">BUY-ACCT-004</t>
  </si>
  <si>
    <t xml:space="preserve">Change password with a wrong old password</t>
  </si>
  <si>
    <t xml:space="preserve">1. Enter a wrong old password and a valid new one.
2. Save.
3. Log out and log in with Mamimili@2026.</t>
  </si>
  <si>
    <t xml:space="preserve">Old: Wrong@2026
New: Mamimili@2027</t>
  </si>
  <si>
    <t xml:space="preserve">Blocked with 'current password is incorrect'. The original password still works.</t>
  </si>
  <si>
    <t xml:space="preserve">BUY-ACCT-005</t>
  </si>
  <si>
    <t xml:space="preserve">New password breaks the rule</t>
  </si>
  <si>
    <t xml:space="preserve">1. Enter the correct old password and each new password, one per attempt.</t>
  </si>
  <si>
    <t xml:space="preserve">Mami@26 (7 characters)
mamimili@2027 (no uppercase)
MAMIMILI@2027 (no lowercase)
Mamimili@abcd (no number)
Mamimili2027 (no special)
Confirm: Mamimili@2028 (does not match)
New = old: Mamimili@2026</t>
  </si>
  <si>
    <t xml:space="preserve">Each is rejected with the specific rule that failed. The password is unchanged.</t>
  </si>
  <si>
    <t xml:space="preserve">BUY-ACCT-006</t>
  </si>
  <si>
    <t xml:space="preserve">Change email with verification</t>
  </si>
  <si>
    <t xml:space="preserve">1. Change the email to the spare email.
2. Before entering the OTP, log out and log in with the old email.
3. Enter the OTP from the new email.
4. Log out and log in with each email.</t>
  </si>
  <si>
    <t xml:space="preserve">New email: buyer.test01@example.com</t>
  </si>
  <si>
    <t xml:space="preserve">Before verification the old email still logs in and the profile still shows it. After the correct OTP, only the new email logs in; the old one is rejected.</t>
  </si>
  <si>
    <t xml:space="preserve">BUY-ACCT-007</t>
  </si>
  <si>
    <t xml:space="preserve">Change email: wrong or expired OTP</t>
  </si>
  <si>
    <t xml:space="preserve">1. Request the change and enter a wrong OTP.
2. Wait 5 minutes and enter the correct (now expired) OTP.</t>
  </si>
  <si>
    <t xml:space="preserve">Wrong OTP: 000000</t>
  </si>
  <si>
    <t xml:space="preserve">Both are rejected. The email is not changed.</t>
  </si>
  <si>
    <t xml:space="preserve">BUY-ACCT-008</t>
  </si>
  <si>
    <t xml:space="preserve">Change email to one already used</t>
  </si>
  <si>
    <t xml:space="preserve">1. Change the email to each value.</t>
  </si>
  <si>
    <t xml:space="preserve">anamarie.reyes@example.com
MARIACLARA.SANTOS@example.com (seller, different case)</t>
  </si>
  <si>
    <t xml:space="preserve">Both are blocked with 'email already in use' and no OTP is sent.</t>
  </si>
  <si>
    <t xml:space="preserve">BUY-ACCT-009</t>
  </si>
  <si>
    <t xml:space="preserve">Change phone with verification and format</t>
  </si>
  <si>
    <t xml:space="preserve">1. Change the phone to each value; complete the OTP for the valid one.</t>
  </si>
  <si>
    <t xml:space="preserve">0917123 (reject)
09173456789 (Buyer 2's, reject)
09170000001 (accept after OTP)</t>
  </si>
  <si>
    <t xml:space="preserve">Invalid and duplicate numbers are rejected without an OTP. The valid number is saved only after verification.</t>
  </si>
  <si>
    <t xml:space="preserve">BUY-ACCT-010</t>
  </si>
  <si>
    <t xml:space="preserve">[Mobile] Change the profile photo with the camera and the gallery</t>
  </si>
  <si>
    <t xml:space="preserve">Logged in as Buyer 1 on the test phone. My Profile is open. review_photo.jpg is in the phone's Photos.</t>
  </si>
  <si>
    <t xml:space="preserve">1. Tap the photo, choose Take Photo, take a picture and save.
2. Tap the photo again, choose Gallery, pick review_photo.jpg and save.
3. Turn off camera access for the app in phone Settings and tap Take Photo again.</t>
  </si>
  <si>
    <t xml:space="preserve">Steps 1 and 2: the new photo shows on the profile and is still there after the app is closed and reopened. Step 3: no crash; a message says camera access is off and offers Settings; Gallery still works.</t>
  </si>
  <si>
    <t xml:space="preserve">A16, M6, M7</t>
  </si>
  <si>
    <t xml:space="preserve">BUY-ACCT-011</t>
  </si>
  <si>
    <t xml:space="preserve">[Mobile] Password change ends the session on the other phone</t>
  </si>
  <si>
    <t xml:space="preserve">Buyer 1 is logged in on two phones (or a phone and an emulator).</t>
  </si>
  <si>
    <t xml:space="preserve">1. On phone A, change the password to Mamimili@2027.
2. On phone B, pull to refresh or open any screen.
3. On phone B, log in with the old password, then the new one.
4. Change the password back to Mamimili@2026.</t>
  </si>
  <si>
    <t xml:space="preserve">Old: Mamimili@2026
New: Mamimili@2027</t>
  </si>
  <si>
    <t xml:space="preserve">Phone B's session ends and the login screen is shown. The old password is rejected and the new one works. Phone A stays logged in.</t>
  </si>
  <si>
    <t xml:space="preserve">BUY-ACCT-012</t>
  </si>
  <si>
    <t xml:space="preserve">[Mobile] Stay logged in, then log out and press Back</t>
  </si>
  <si>
    <t xml:space="preserve">1. Force-close the app (swipe it away) and reopen it.
2. Tap Log Out.
3. Press Android Back (or swipe back) several times, then reopen the app from recent apps.</t>
  </si>
  <si>
    <t xml:space="preserve">Step 1: the app opens on the home screen, still logged in as Juan Miguel. Steps 2–3: the login screen stays; no account screen appears again and the app does not log back in by itself.</t>
  </si>
  <si>
    <t xml:space="preserve">M8, M9</t>
  </si>
  <si>
    <t xml:space="preserve">BUY-ADDR-001</t>
  </si>
  <si>
    <t xml:space="preserve">Address Book</t>
  </si>
  <si>
    <t xml:space="preserve">Add an address with valid data</t>
  </si>
  <si>
    <t xml:space="preserve">Logged in as Buyer 1. Address Book is open with ADDR-1 only.</t>
  </si>
  <si>
    <t xml:space="preserve">1. Tap Add Address.
2. Select Region, Province, City and Barangay in order.
3. Fill in street, recipient and phone.
4. Save and pull-to-refresh.</t>
  </si>
  <si>
    <t xml:space="preserve">ADDR-2 (Makati office)</t>
  </si>
  <si>
    <t xml:space="preserve">ADDR-2 is listed with exactly the entered values and is not default. ADDR-1 is still default.</t>
  </si>
  <si>
    <t xml:space="preserve">BUY-ADDR-002</t>
  </si>
  <si>
    <t xml:space="preserve">Region → city → barangay cascade</t>
  </si>
  <si>
    <t xml:space="preserve">1. Select NCR; open the City list.
2. Select Makati; open the Barangay list.
3. Change Region to Region VII.</t>
  </si>
  <si>
    <t xml:space="preserve">Each list shows only places under the one above (no Cebu cities under NCR). Changing Region clears City and Barangay.</t>
  </si>
  <si>
    <t xml:space="preserve">BUY-ADDR-003</t>
  </si>
  <si>
    <t xml:space="preserve">Each required field left blank</t>
  </si>
  <si>
    <t xml:space="preserve">1. Fill in all fields, clear one and save; repeat for each.</t>
  </si>
  <si>
    <t xml:space="preserve">Clear in turn: Recipient, Phone, Region, City, Barangay, Street</t>
  </si>
  <si>
    <t xml:space="preserve">Each attempt is blocked with a message on the blank field. No address is added.</t>
  </si>
  <si>
    <t xml:space="preserve">BUY-ADDR-004</t>
  </si>
  <si>
    <t xml:space="preserve">Phone number format</t>
  </si>
  <si>
    <t xml:space="preserve">1. Enter each phone number and save.</t>
  </si>
  <si>
    <t xml:space="preserve">0917123 (reject)
091712345678 (reject)
09171234567 (accept)
+639171234567 (accept)</t>
  </si>
  <si>
    <t xml:space="preserve">Only the two valid formats save.</t>
  </si>
  <si>
    <t xml:space="preserve">BUY-ADDR-005</t>
  </si>
  <si>
    <t xml:space="preserve">Address book limit</t>
  </si>
  <si>
    <t xml:space="preserve">Low</t>
  </si>
  <si>
    <t xml:space="preserve">Logged in as Buyer 1. 9 addresses exist.</t>
  </si>
  <si>
    <t xml:space="preserve">1. Add a 10th.
2. Try an 11th.</t>
  </si>
  <si>
    <t xml:space="preserve">The 10th saves. The 11th is blocked with a limit message.</t>
  </si>
  <si>
    <t xml:space="preserve">BUY-ADDR-006</t>
  </si>
  <si>
    <t xml:space="preserve">Set a different default address</t>
  </si>
  <si>
    <t xml:space="preserve">1. Set ADDR-2 as default.
2. Open checkout.</t>
  </si>
  <si>
    <t xml:space="preserve">Only ADDR-2 shows Default and checkout pre-selects it.</t>
  </si>
  <si>
    <t xml:space="preserve">BUY-ADDR-007</t>
  </si>
  <si>
    <t xml:space="preserve">Delete the default address</t>
  </si>
  <si>
    <t xml:space="preserve">Logged in as Buyer 1. ADDR-1 is default; ADDR-2 exists.</t>
  </si>
  <si>
    <t xml:space="preserve">1. Try to delete ADDR-1.
2. Set ADDR-2 as default, then delete ADDR-1.</t>
  </si>
  <si>
    <t xml:space="preserve">The first attempt is blocked with a message to choose another default first. The second succeeds. There is always exactly one default.</t>
  </si>
  <si>
    <t xml:space="preserve">BUY-ADDR-008</t>
  </si>
  <si>
    <t xml:space="preserve">Edit or delete an address used by an active order</t>
  </si>
  <si>
    <t xml:space="preserve">Logged in as Buyer 1. A To Ship order uses ADDR-2.</t>
  </si>
  <si>
    <t xml:space="preserve">1. Change ADDR-2's street, then delete ADDR-2.
2. Open the order as Buyer 1 and Seller 1, and print the waybill.</t>
  </si>
  <si>
    <t xml:space="preserve">Street: 14F Pacific Tower</t>
  </si>
  <si>
    <t xml:space="preserve">The order, the seller's view and the waybill still show the original ADDR-2 exactly.</t>
  </si>
  <si>
    <t xml:space="preserve">BUY-ADDR-009</t>
  </si>
  <si>
    <t xml:space="preserve">Cannot open another buyer's address</t>
  </si>
  <si>
    <t xml:space="preserve">1. Open Edit on ADDR-1 and change the address ID in the deep link or API request to ADDR-3's (Buyer 2).</t>
  </si>
  <si>
    <t xml:space="preserve">Access is denied. No part of ADDR-3 is shown.</t>
  </si>
  <si>
    <t xml:space="preserve">A22, M11</t>
  </si>
  <si>
    <t xml:space="preserve">BUY-ADDR-010</t>
  </si>
  <si>
    <t xml:space="preserve">[Mobile] Use My Location with permission allowed and denied</t>
  </si>
  <si>
    <t xml:space="preserve">Logged in as Buyer 1. Add Address is open. Location is on. (If the app has no location feature, mark Not Run and write 'Not supported' in Remarks.)</t>
  </si>
  <si>
    <t xml:space="preserve">1. Tap Use My Location (or the map pin) and allow location access.
2. Discard the draft, turn off location access for the app in phone Settings, and tap Use My Location again.</t>
  </si>
  <si>
    <t xml:space="preserve">Step 1: Region, City and Barangay are filled from the location and can still be edited before saving. Step 2: no crash; a message explains that location is off; the address can still be entered by hand.</t>
  </si>
  <si>
    <t xml:space="preserve">BUY-ADDR-011</t>
  </si>
  <si>
    <t xml:space="preserve">[Mobile] Keyboard on the address form</t>
  </si>
  <si>
    <t xml:space="preserve">Logged in as Buyer 1. Add Address is open.</t>
  </si>
  <si>
    <t xml:space="preserve">1. Tap Phone, then Street, then Recipient.
2. With the keyboard open, scroll to Save.</t>
  </si>
  <si>
    <t xml:space="preserve">Phone opens a number pad. Street and Recipient open a text keyboard. Save can be reached and tapped while the keyboard is open or after tapping Done.</t>
  </si>
  <si>
    <t xml:space="preserve">M2, M12</t>
  </si>
  <si>
    <t xml:space="preserve">BUY-SRCH-001</t>
  </si>
  <si>
    <t xml:space="preserve">Browse, Search &amp; Filter</t>
  </si>
  <si>
    <t xml:space="preserve">Browse a platform category</t>
  </si>
  <si>
    <t xml:space="preserve">1. Open the platform category Home &amp; Living.</t>
  </si>
  <si>
    <t xml:space="preserve">Every Active product in Home &amp; Living is listed, including P-02. No product from other categories appears.</t>
  </si>
  <si>
    <t xml:space="preserve">BUY-SRCH-002</t>
  </si>
  <si>
    <t xml:space="preserve">Store screen with store categories</t>
  </si>
  <si>
    <t xml:space="preserve">1. Open Seller 1's store screen.
2. Tap Home Decor, then Lamps.</t>
  </si>
  <si>
    <t xml:space="preserve">Store categories match CAT-1 to CAT-5. Lamps shows P-03 only.</t>
  </si>
  <si>
    <t xml:space="preserve">BUY-SRCH-003</t>
  </si>
  <si>
    <t xml:space="preserve">Search: exact and partial match</t>
  </si>
  <si>
    <t xml:space="preserve">1. Search each term.</t>
  </si>
  <si>
    <t xml:space="preserve">Rattan Fruit Basket
rattan
RATTAN
'  rattan  '</t>
  </si>
  <si>
    <t xml:space="preserve">P-02 appears for all four terms (case and outer spaces do not matter).</t>
  </si>
  <si>
    <t xml:space="preserve">BUY-SRCH-004</t>
  </si>
  <si>
    <t xml:space="preserve">Search: typo and no results</t>
  </si>
  <si>
    <t xml:space="preserve">Ratan baskit
zzqxw</t>
  </si>
  <si>
    <t xml:space="preserve">The typo returns P-02 or a 'Did you mean rattan basket?' suggestion. zzqxw shows a clear 'no results' state, not an error.</t>
  </si>
  <si>
    <t xml:space="preserve">BUY-SRCH-005</t>
  </si>
  <si>
    <t xml:space="preserve">Search: special characters and injection</t>
  </si>
  <si>
    <t xml:space="preserve">1. Search each string.
2. Check the screen and the app log (Android Logcat or Xcode console, if available).</t>
  </si>
  <si>
    <t xml:space="preserve">%
' OR '1'='1
&lt;script&gt;alert(1)&lt;/script&gt;
"&gt;&lt;img src=x onerror=alert(1)&gt;</t>
  </si>
  <si>
    <t xml:space="preserve">Each returns no results or literal matches. No error screen, no pop-up, no list of all products from the SQL string, and the app log shows no script run.</t>
  </si>
  <si>
    <t xml:space="preserve">BUY-SRCH-006</t>
  </si>
  <si>
    <t xml:space="preserve">Empty search</t>
  </si>
  <si>
    <t xml:space="preserve">1. Tap Search with an empty box and with spaces only.</t>
  </si>
  <si>
    <t xml:space="preserve">The search is not submitted (or the normal listing is shown). No error screen.</t>
  </si>
  <si>
    <t xml:space="preserve">BUY-SRCH-007</t>
  </si>
  <si>
    <t xml:space="preserve">Price range filter</t>
  </si>
  <si>
    <t xml:space="preserve">1. Apply each price range.</t>
  </si>
  <si>
    <t xml:space="preserve">₱300 – ₱450 (P-02 included)
₱451 – ₱1,000 (P-02 excluded)
₱450 – ₱450 (P-02 only)
Min ₱1,000, Max ₱100
Min -1</t>
  </si>
  <si>
    <t xml:space="preserve">Range ends are inclusive. Min greater than Max and negative values are rejected with a message and the results are not filtered by them.</t>
  </si>
  <si>
    <t xml:space="preserve">BUY-SRCH-008</t>
  </si>
  <si>
    <t xml:space="preserve">Combined filters</t>
  </si>
  <si>
    <t xml:space="preserve">1. Apply rating 4+, category Home &amp; Living and location Metro Manila together.
2. Clear one filter at a time.</t>
  </si>
  <si>
    <t xml:space="preserve">Only products matching all active filters are shown. Clearing filters widens the results correctly.</t>
  </si>
  <si>
    <t xml:space="preserve">BUY-SRCH-009</t>
  </si>
  <si>
    <t xml:space="preserve">Sort and loading more results</t>
  </si>
  <si>
    <t xml:space="preserve">1. Sort by price low–high, high–low, latest and best-selling.
2. Scroll down until more results load (or go to the next page of results), then scroll back to the top.</t>
  </si>
  <si>
    <t xml:space="preserve">Each sort orders the results correctly. No product repeats or disappears as more results load or when scrolling back.</t>
  </si>
  <si>
    <t xml:space="preserve">BUY-SRCH-010</t>
  </si>
  <si>
    <t xml:space="preserve">Inactive, deleted and draft products never appear</t>
  </si>
  <si>
    <t xml:space="preserve">Seller 1 has one inactive product, one deleted product and one draft.</t>
  </si>
  <si>
    <t xml:space="preserve">1. Search for each by exact name.
2. Browse their category and the store screen.
3. Open each product's share link (copied with Share before it was hidden or deleted).</t>
  </si>
  <si>
    <t xml:space="preserve">None appears in search, category or store screens. Each share link opens an 'unavailable' or 'not found' screen in the app.</t>
  </si>
  <si>
    <t xml:space="preserve">BUY-SRCH-011</t>
  </si>
  <si>
    <t xml:space="preserve">Products of a vacation store</t>
  </si>
  <si>
    <t xml:space="preserve">Seller 1 is on vacation.</t>
  </si>
  <si>
    <t xml:space="preserve">1. Search for P-02.</t>
  </si>
  <si>
    <t xml:space="preserve">P-02 appears with the 'On vacation' label and cannot be added to the cart.</t>
  </si>
  <si>
    <t xml:space="preserve">BUY-SRCH-012</t>
  </si>
  <si>
    <t xml:space="preserve">[Mobile] Search key on the keyboard and pull to refresh</t>
  </si>
  <si>
    <t xml:space="preserve">1. Type 'rattan' and tap the Search key on the keyboard (not an on-screen button).
2. Pull down on the results.</t>
  </si>
  <si>
    <t xml:space="preserve">rattan</t>
  </si>
  <si>
    <t xml:space="preserve">Step 1 runs the search and closes the keyboard. Step 2 reloads the results; the same products appear with no duplicates.</t>
  </si>
  <si>
    <t xml:space="preserve">BUY-SRCH-013</t>
  </si>
  <si>
    <t xml:space="preserve">[Mobile] Search with no internet</t>
  </si>
  <si>
    <t xml:space="preserve">1. Turn on Airplane mode and search for 'rattan'.
2. Turn Airplane mode off and tap Retry (or search again).</t>
  </si>
  <si>
    <t xml:space="preserve">Step 1 shows a no-internet message, not an empty 'no results' state and not a crash. Step 2 shows P-02.</t>
  </si>
  <si>
    <t xml:space="preserve">BUY-PDP-001</t>
  </si>
  <si>
    <t xml:space="preserve">Product Detail Page</t>
  </si>
  <si>
    <t xml:space="preserve">All variation types must be selected</t>
  </si>
  <si>
    <t xml:space="preserve">Logged in as Buyer 1. P-01 is open.</t>
  </si>
  <si>
    <t xml:space="preserve">1. Tap Add to Cart with nothing selected.
2. Select Color only and tap Add to Cart.
3. Select Size too and tap Add to Cart.
4. Repeat the first two steps with Buy Now.</t>
  </si>
  <si>
    <t xml:space="preserve">Without both selections, Add to Cart and Buy Now show 'Please select a variation' and nothing is added. With both, the item is added once.</t>
  </si>
  <si>
    <t xml:space="preserve">BUY-PDP-002</t>
  </si>
  <si>
    <t xml:space="preserve">Selecting a variant updates price, stock and image</t>
  </si>
  <si>
    <t xml:space="preserve">1. Select Natural-S, then Natural-L, then Black-S.</t>
  </si>
  <si>
    <t xml:space="preserve">Price: ₱199 → ₱299 → ₱199. Stock: 10 → 5 → 10. Image switches to the colour's image.</t>
  </si>
  <si>
    <t xml:space="preserve">BUY-PDP-003</t>
  </si>
  <si>
    <t xml:space="preserve">Out-of-stock variant disabled</t>
  </si>
  <si>
    <t xml:space="preserve">1. Select Black and try to tap M.</t>
  </si>
  <si>
    <t xml:space="preserve">Black-M stock 0</t>
  </si>
  <si>
    <t xml:space="preserve">M is disabled for Black and cannot be selected.</t>
  </si>
  <si>
    <t xml:space="preserve">BUY-PDP-004</t>
  </si>
  <si>
    <t xml:space="preserve">Quantity limits</t>
  </si>
  <si>
    <t xml:space="preserve">Logged in as Buyer 1. P-02 stock is 20.</t>
  </si>
  <si>
    <t xml:space="preserve">1. Type each quantity and tap Add to Cart.
2. Use the + button to go past 20.</t>
  </si>
  <si>
    <t xml:space="preserve">0 (reject)
-1 (reject)
1 (accept)
20 (accept)
21 (reject)
1.5 (reject)
abc (reject)</t>
  </si>
  <si>
    <t xml:space="preserve">Only 1 and 20 are added. The + button stops at 20. Invalid values show a message and the cart is unchanged.</t>
  </si>
  <si>
    <t xml:space="preserve">BUY-PDP-005</t>
  </si>
  <si>
    <t xml:space="preserve">Per-buyer purchase limit</t>
  </si>
  <si>
    <t xml:space="preserve">Logged in as Buyer 1. Buyer 1 has not bought P-07 before.</t>
  </si>
  <si>
    <t xml:space="preserve">1. Add 2 × P-07 and buy them.
2. Try to add 1 more P-07.</t>
  </si>
  <si>
    <t xml:space="preserve">P-07 limit 2</t>
  </si>
  <si>
    <t xml:space="preserve">The first 2 are bought. The 3rd is blocked with a limit message, including in a new cart.</t>
  </si>
  <si>
    <t xml:space="preserve">BUY-PDP-006</t>
  </si>
  <si>
    <t xml:space="preserve">Sale price, countdown and vouchers shown</t>
  </si>
  <si>
    <t xml:space="preserve">A flash sale is live on P-02 (₱299). MCH50 is claimable.</t>
  </si>
  <si>
    <t xml:space="preserve">1. Open P-02.</t>
  </si>
  <si>
    <t xml:space="preserve">Shows ₱299 with ₱450 struck through, a countdown to the slot end, the flash units left, and MCH50 with a Claim button.</t>
  </si>
  <si>
    <t xml:space="preserve">BUY-PDP-007</t>
  </si>
  <si>
    <t xml:space="preserve">Buy Now checks out only that item</t>
  </si>
  <si>
    <t xml:space="preserve">Logged in as Buyer 1. Cart already has P-05.</t>
  </si>
  <si>
    <t xml:space="preserve">1. Select P-01 Natural-M and tap Buy Now.</t>
  </si>
  <si>
    <t xml:space="preserve">Checkout opens with only P-01 Natural-M × 1. P-05 stays in the cart and is not in this checkout.</t>
  </si>
  <si>
    <t xml:space="preserve">BUY-PDP-008</t>
  </si>
  <si>
    <t xml:space="preserve">Product screen of an unavailable product</t>
  </si>
  <si>
    <t xml:space="preserve">1. Open the share link of a deleted product and of an inactive product (copied with Share before the change).</t>
  </si>
  <si>
    <t xml:space="preserve">Both open a clear 'unavailable' screen with no Add to Cart. No crash or error screen.</t>
  </si>
  <si>
    <t xml:space="preserve">BUY-PDP-009</t>
  </si>
  <si>
    <t xml:space="preserve">[Mobile] Swipe and zoom product images</t>
  </si>
  <si>
    <t xml:space="preserve">Logged in as Buyer 1. P-01 is open with Natural-M selected.</t>
  </si>
  <si>
    <t xml:space="preserve">1. Swipe left and right through the images.
2. Tap an image and pinch to zoom.
3. Close the zoomed view.</t>
  </si>
  <si>
    <t xml:space="preserve">Images change in the uploaded order with a position indicator. Zoom works and the image stays sharp. Closing returns to P-01 with Natural-M still selected.</t>
  </si>
  <si>
    <t xml:space="preserve">BUY-PDP-010</t>
  </si>
  <si>
    <t xml:space="preserve">[Mobile] Share link opens the product in the app</t>
  </si>
  <si>
    <t xml:space="preserve">Buyer 1 is on phone A. Buyer 2 has the app on phone B.</t>
  </si>
  <si>
    <t xml:space="preserve">1. On P-02, tap Share and send the link to phone B (for example by SMS or Messenger).
2. On phone B, tap the link.
3. Open the same link on a phone without the app.</t>
  </si>
  <si>
    <t xml:space="preserve">Phone B opens P-02 directly in the app. Without the app, the link opens a mobile web page for P-02 or the app's store page. Never a blank or error page.</t>
  </si>
  <si>
    <t xml:space="preserve">BUY-WISH-001</t>
  </si>
  <si>
    <t xml:space="preserve">Wishlist &amp; Follow Store</t>
  </si>
  <si>
    <t xml:space="preserve">Add and remove a wishlist item</t>
  </si>
  <si>
    <t xml:space="preserve">1. Add P-02 to the wishlist.
2. Open Wishlist.
3. Remove P-02 and pull-to-refresh.</t>
  </si>
  <si>
    <t xml:space="preserve">P-02 appears once, then is gone after removal. The heart on P-02's screen matches each state.</t>
  </si>
  <si>
    <t xml:space="preserve">BUY-WISH-002</t>
  </si>
  <si>
    <t xml:space="preserve">Add the same item twice quickly</t>
  </si>
  <si>
    <t xml:space="preserve">1. Double-tap the wishlist heart on P-02.
2. Open Wishlist.</t>
  </si>
  <si>
    <t xml:space="preserve">P-02 appears at most once, and the heart reflects the final state.</t>
  </si>
  <si>
    <t xml:space="preserve">BUY-WISH-003</t>
  </si>
  <si>
    <t xml:space="preserve">Wishlist item goes out of stock or is deleted</t>
  </si>
  <si>
    <t xml:space="preserve">P-02 and P-05 are in Buyer 1's wishlist.</t>
  </si>
  <si>
    <t xml:space="preserve">1. Seller 1 sets P-02 stock to 0. Seller 2 deletes P-05.
2. Open Wishlist.</t>
  </si>
  <si>
    <t xml:space="preserve">P-02 shows Sold out with Add to Cart disabled. P-05 stays listed as Unavailable with no Add to Cart. The screen shows no error.</t>
  </si>
  <si>
    <t xml:space="preserve">BUY-WISH-004</t>
  </si>
  <si>
    <t xml:space="preserve">Follow and unfollow a store</t>
  </si>
  <si>
    <t xml:space="preserve">Logged in as Buyer 1. Seller 1 has N followers.</t>
  </si>
  <si>
    <t xml:space="preserve">1. Follow Seller 1.
2. Check the follower count and Following list.
3. Unfollow and check again.</t>
  </si>
  <si>
    <t xml:space="preserve">Count becomes N+1 and Seller 1 is in Following; after unfollowing, N and removed.</t>
  </si>
  <si>
    <t xml:space="preserve">BUY-WISH-005</t>
  </si>
  <si>
    <t xml:space="preserve">Wishlist and follow require login</t>
  </si>
  <si>
    <t xml:space="preserve">Logged out.</t>
  </si>
  <si>
    <t xml:space="preserve">1. Tap the wishlist heart on P-02.
2. Tap Follow on Seller 1.</t>
  </si>
  <si>
    <t xml:space="preserve">Each opens the login screen; nothing is saved without an account.</t>
  </si>
  <si>
    <t xml:space="preserve">BUY-CART-001</t>
  </si>
  <si>
    <t xml:space="preserve">Cart</t>
  </si>
  <si>
    <t xml:space="preserve">Same variant added twice merges</t>
  </si>
  <si>
    <t xml:space="preserve">Logged in as Buyer 1. Cart is empty.</t>
  </si>
  <si>
    <t xml:space="preserve">1. Add P-01 Natural-M × 1.
2. Add P-01 Natural-M × 2.
3. Open the cart.</t>
  </si>
  <si>
    <t xml:space="preserve">One line, Natural-M × 3, subtotal ₱747.00.</t>
  </si>
  <si>
    <t xml:space="preserve">BUY-CART-002</t>
  </si>
  <si>
    <t xml:space="preserve">Different variants stay separate</t>
  </si>
  <si>
    <t xml:space="preserve">1. Add P-01 Natural-M and P-01 Black-S.</t>
  </si>
  <si>
    <t xml:space="preserve">Two separate lines with their own prices (₱249 and ₱199).</t>
  </si>
  <si>
    <t xml:space="preserve">BUY-CART-003</t>
  </si>
  <si>
    <t xml:space="preserve">Items grouped by store</t>
  </si>
  <si>
    <t xml:space="preserve">1. Add P-02 (Seller 1) and P-05 (Seller 2).</t>
  </si>
  <si>
    <t xml:space="preserve">Two store groups with store names, each listing only its own items.</t>
  </si>
  <si>
    <t xml:space="preserve">BUY-CART-004</t>
  </si>
  <si>
    <t xml:space="preserve">Select and deselect items for checkout</t>
  </si>
  <si>
    <t xml:space="preserve">Logged in as Buyer 1. Cart has P-01 Natural-M, P-02 and P-05, all deselected.</t>
  </si>
  <si>
    <t xml:space="preserve">1. Select P-05 only and note the subtotal.
2. Tap Seller 1's store checkbox.
3. Deselect P-05.
4. Tap Check Out.</t>
  </si>
  <si>
    <t xml:space="preserve">Subtotals: ₱399, then ₱1,098, then ₱699. Checkout contains only P-01 and P-02; P-05 stays in the cart.</t>
  </si>
  <si>
    <t xml:space="preserve">BUY-CART-005</t>
  </si>
  <si>
    <t xml:space="preserve">Change quantity at the limits</t>
  </si>
  <si>
    <t xml:space="preserve">Logged in as Buyer 1. P-02 in the cart, stock 20.</t>
  </si>
  <si>
    <t xml:space="preserve">1. Set quantity 0, 1, 20 and 21.</t>
  </si>
  <si>
    <t xml:space="preserve">0 is not accepted (or asks to remove the item). 1 and 20 are accepted. 21 is blocked with 'only 20 available'.</t>
  </si>
  <si>
    <t xml:space="preserve">BUY-CART-006</t>
  </si>
  <si>
    <t xml:space="preserve">Price changes while in the cart</t>
  </si>
  <si>
    <t xml:space="preserve">P-02 (₱450) in the cart.</t>
  </si>
  <si>
    <t xml:space="preserve">1. Seller 1 changes P-02 to ₱420.
2. Pull to refresh the cart.</t>
  </si>
  <si>
    <t xml:space="preserve">The cart shows ₱420.00 and the subtotal updates.</t>
  </si>
  <si>
    <t xml:space="preserve">BUY-CART-007</t>
  </si>
  <si>
    <t xml:space="preserve">Item goes out of stock or is deleted while in the cart</t>
  </si>
  <si>
    <t xml:space="preserve">P-02 and P-05 in the cart, plus P-06.</t>
  </si>
  <si>
    <t xml:space="preserve">1. Seller 1 sets P-02 stock to 0. Seller 2 deletes P-05.
2. Open the cart and try to select P-02 and P-05.
3. Check out P-06.</t>
  </si>
  <si>
    <t xml:space="preserve">P-02 and P-05 are marked unavailable and cannot be selected. P-06 checks out normally.</t>
  </si>
  <si>
    <t xml:space="preserve">BUY-CART-008</t>
  </si>
  <si>
    <t xml:space="preserve">Cart persists after logout and on another device</t>
  </si>
  <si>
    <t xml:space="preserve">Logged in as Buyer 1. Cart has 2 items.</t>
  </si>
  <si>
    <t xml:space="preserve">1. Log out and back in.
2. Log in on a second phone.</t>
  </si>
  <si>
    <t xml:space="preserve">The same 2 items and quantities appear in both phones.</t>
  </si>
  <si>
    <t xml:space="preserve">BUY-CART-009</t>
  </si>
  <si>
    <t xml:space="preserve">Remove an item</t>
  </si>
  <si>
    <t xml:space="preserve">1. Tap Delete on a line and confirm.</t>
  </si>
  <si>
    <t xml:space="preserve">The line is gone after a pull-to-refresh and the subtotal updates.</t>
  </si>
  <si>
    <t xml:space="preserve">BUY-CART-010</t>
  </si>
  <si>
    <t xml:space="preserve">Cannot change another buyer's cart</t>
  </si>
  <si>
    <t xml:space="preserve">1. Capture the update-quantity request and change the cart line ID to one of Buyer 2's.</t>
  </si>
  <si>
    <t xml:space="preserve">Rejected (403 or not found). Buyer 2's cart is unchanged.</t>
  </si>
  <si>
    <t xml:space="preserve">BUY-CART-011</t>
  </si>
  <si>
    <t xml:space="preserve">[Mobile] Change quantity with no internet</t>
  </si>
  <si>
    <t xml:space="preserve">Logged in as Buyer 1. Cart has P-02 × 1.</t>
  </si>
  <si>
    <t xml:space="preserve">1. Turn on Airplane mode and change P-02 to 3.
2. Turn Airplane mode off and pull to refresh the cart.</t>
  </si>
  <si>
    <t xml:space="preserve">P-02 quantity 3</t>
  </si>
  <si>
    <t xml:space="preserve">Step 1: a no-internet message; the quantity goes back to 1 or is clearly marked not saved. Step 2: the cart shows what the server saved. The phone never shows 3 while the server has 1.</t>
  </si>
  <si>
    <t xml:space="preserve">BUY-CART-012</t>
  </si>
  <si>
    <t xml:space="preserve">[Mobile] Cart badge count</t>
  </si>
  <si>
    <t xml:space="preserve">1. Add P-02, then P-05.
2. Remove P-02.
3. Force-close and reopen the app.</t>
  </si>
  <si>
    <t xml:space="preserve">The cart icon badge shows 1, 2, then 1, and still 1 after reopening. (Note in Remarks whether the badge counts lines or units.)</t>
  </si>
  <si>
    <t xml:space="preserve">BUY-VOU-001</t>
  </si>
  <si>
    <t xml:space="preserve">Vouchers &amp; Promotions</t>
  </si>
  <si>
    <t xml:space="preserve">Claim a voucher into the wallet</t>
  </si>
  <si>
    <t xml:space="preserve">1. On Seller 1's store screen, claim MCH50.
2. Open My Vouchers.
3. Try to claim MCH50 again.</t>
  </si>
  <si>
    <t xml:space="preserve">MCH50 is in the wallet with its rule and end date. The button changes to Claimed and a second claim is not possible.</t>
  </si>
  <si>
    <t xml:space="preserve">BUY-VOU-002</t>
  </si>
  <si>
    <t xml:space="preserve">Apply a store voucher</t>
  </si>
  <si>
    <t xml:space="preserve">Logged in as Buyer 1. MCH50 claimed. Cart: P-02 (₱450).</t>
  </si>
  <si>
    <t xml:space="preserve">1. Open checkout and apply MCH50.</t>
  </si>
  <si>
    <t xml:space="preserve">Seller 1's group shows −₱50.00 and the total is ₱450 + ₱50 shipping − ₱50 = ₱450.00.</t>
  </si>
  <si>
    <t xml:space="preserve">BUY-VOU-003</t>
  </si>
  <si>
    <t xml:space="preserve">Stacking per the agreed rule</t>
  </si>
  <si>
    <t xml:space="preserve">Logged in as Buyer 1. Cart holds the worked checkout example items (Seller 1: Tote Natural-M, Rattan Basket; Seller 2: USB-C Charger). MCH50, PLAT100 and FREESHIP are claimed. ADDR-1 is default.</t>
  </si>
  <si>
    <t xml:space="preserve">1. Apply MCH50, PLAT100 and FREESHIP.
2. Select MCH10 for Seller 1 as well.
3. Apply RVSECRET to Seller 2.</t>
  </si>
  <si>
    <t xml:space="preserve">Worked checkout example</t>
  </si>
  <si>
    <t xml:space="preserve">MCH50 + PLAT100 + FREESHIP apply; total ₱1,083.00. Selecting MCH10 replaces MCH50 (Seller 1 ₱699 ≥ ₱500 → −₱69.90; total ₱1,063.10); never both. RVSECRET is not applicable (Seller 2 subtotal ₱399 &lt; ₱1,000).</t>
  </si>
  <si>
    <t xml:space="preserve">BUY-VOU-004</t>
  </si>
  <si>
    <t xml:space="preserve">Minimum spend at the boundary</t>
  </si>
  <si>
    <t xml:space="preserve">Logged in as Buyer 1. MCH50 claimed (min ₱300). Only check the checkout screen; do not place these orders (MCH50 is 1 per buyer).</t>
  </si>
  <si>
    <t xml:space="preserve">1. Seller 1 sets P-02 price to ₱299.99. Check out 1 × P-02 and try MCH50.
2. Seller 1 sets the price to ₱300.00. Check out again.
3. Seller 1 sets the price to ₱300.01. Check out again.</t>
  </si>
  <si>
    <t xml:space="preserve">P-02 at ₱299.99 / ₱300.00 / ₱300.01</t>
  </si>
  <si>
    <t xml:space="preserve">₱299.99: not applicable, with 'Spend ₱0.01 more'. ₱300.00 and ₱300.01: ₱50.00 off.</t>
  </si>
  <si>
    <t xml:space="preserve">BUY-VOU-005</t>
  </si>
  <si>
    <t xml:space="preserve">Expired, not started, limit reached, invalid code</t>
  </si>
  <si>
    <t xml:space="preserve">1. Try to apply each voucher.</t>
  </si>
  <si>
    <t xml:space="preserve">MCHOLD (expired)
MCHSOON (starts tomorrow)
MCHMAX (total limit reached)
NOSUCHCODE (invalid)</t>
  </si>
  <si>
    <t xml:space="preserve">Each is rejected with its own specific message. No discount is applied.</t>
  </si>
  <si>
    <t xml:space="preserve">BUY-VOU-006</t>
  </si>
  <si>
    <t xml:space="preserve">Per-buyer limit reached</t>
  </si>
  <si>
    <t xml:space="preserve">Buyer 1 used MCH50 on a Completed order.</t>
  </si>
  <si>
    <t xml:space="preserve">1. Try MCH50 on a new order.</t>
  </si>
  <si>
    <t xml:space="preserve">Rejected: already used. Buyer 2 can still use it.</t>
  </si>
  <si>
    <t xml:space="preserve">BUY-VOU-007</t>
  </si>
  <si>
    <t xml:space="preserve">Removing an item drops below the minimum spend</t>
  </si>
  <si>
    <t xml:space="preserve">MCH50 applied to a ₱450 checkout (P-02).</t>
  </si>
  <si>
    <t xml:space="preserve">1. Go back, replace P-02 with P-01 Natural-S (₱199).
2. Return to checkout.</t>
  </si>
  <si>
    <t xml:space="preserve">MCH50 is removed automatically with a notice. Total is ₱199 + ₱50 = ₱249.00.</t>
  </si>
  <si>
    <t xml:space="preserve">BUY-VOU-008</t>
  </si>
  <si>
    <t xml:space="preserve">Percentage voucher respects its cap</t>
  </si>
  <si>
    <t xml:space="preserve">Logged in as Buyer 1. MCH10 claimed (10%, cap ₱100, min ₱500). Only check the checkout screen; do not place these orders.</t>
  </si>
  <si>
    <t xml:space="preserve">1. Seller 1 sets P-02 price to ₱499.99; check out 1 × P-02 with MCH10.
2. Set ₱999.00 and check out.
3. Set ₱1,000.00 and check out.
4. Check out 1 × P-03 (₱1,250).</t>
  </si>
  <si>
    <t xml:space="preserve">P-02 at ₱499.99 / ₱999.00 / ₱1,000.00; P-03</t>
  </si>
  <si>
    <t xml:space="preserve">₱499.99: not applicable. ₱999.00 → ₱99.90 off. ₱1,000.00 → ₱100.00 off. ₱1,250 → ₱100.00 off (cap, not ₱125.00).</t>
  </si>
  <si>
    <t xml:space="preserve">BUY-VOU-009</t>
  </si>
  <si>
    <t xml:space="preserve">Shipping voucher larger than shipping</t>
  </si>
  <si>
    <t xml:space="preserve">Logged in as Buyer 1. FREESHIP claimed (up to ₱50, min ₱300).</t>
  </si>
  <si>
    <t xml:space="preserve">1. Check out 1 × P-02 to ADDR-1 (0.8 kg, ₱50 shipping) with FREESHIP.
2. Check out P-02 + P-01 Natural-M to ADDR-1 (1.2 kg, ₱65 shipping) with FREESHIP.</t>
  </si>
  <si>
    <t xml:space="preserve">₱50 shipping → ₱0.00 shipping (not negative). ₱65 shipping → ₱15.00. Merchandise amounts are unchanged.</t>
  </si>
  <si>
    <t xml:space="preserve">BUY-VOU-010</t>
  </si>
  <si>
    <t xml:space="preserve">Total never negative</t>
  </si>
  <si>
    <t xml:space="preserve">Seller 1 sets P-02 price to ₱100.00 and creates voucher MCHT100: ₱100 off, min spend ₱100.</t>
  </si>
  <si>
    <t xml:space="preserve">1. Check out 1 × P-02 with MCHT100.</t>
  </si>
  <si>
    <t xml:space="preserve">Merchandise total is ₱0.00, never negative; shipping is still charged.</t>
  </si>
  <si>
    <t xml:space="preserve">BUY-VOU-011</t>
  </si>
  <si>
    <t xml:space="preserve">Voucher on items already on sale</t>
  </si>
  <si>
    <t xml:space="preserve">P-02 on sale at ₱360. MCH50 claimed.</t>
  </si>
  <si>
    <t xml:space="preserve">1. Check out 1 × P-02 with MCH50.</t>
  </si>
  <si>
    <t xml:space="preserve">MCH50 applies (₱360 ≥ ₱300). Merchandise ₱310.00, total ₱360.00 with ₱50 shipping.</t>
  </si>
  <si>
    <t xml:space="preserve">BUY-VOU-012</t>
  </si>
  <si>
    <t xml:space="preserve">Voucher returned after cancellation</t>
  </si>
  <si>
    <t xml:space="preserve">An order used MCH50 and is still cancellable.</t>
  </si>
  <si>
    <t xml:space="preserve">1. Cancel the order.
2. Open My Vouchers.</t>
  </si>
  <si>
    <t xml:space="preserve">MCH50 is back in the wallet, usable again before it expires.</t>
  </si>
  <si>
    <t xml:space="preserve">BUY-CHK-001</t>
  </si>
  <si>
    <t xml:space="preserve">Checkout</t>
  </si>
  <si>
    <t xml:space="preserve">Checkout with the worked example</t>
  </si>
  <si>
    <t xml:space="preserve">1. Open checkout with ADDR-1.
2. Apply MCH50, PLAT100 and FREESHIP.
3. Choose COD and tap Place Order.
4. Open both new orders.</t>
  </si>
  <si>
    <t xml:space="preserve">Summary: merchandise ₱1,098.00, shipping ₱185.00 (₱65 + ₱120), store voucher −₱50.00, platform voucher −₱100.00, shipping voucher −₱50.00, total ₱1,083.00. Two orders are created, one per store, whose totals add up to ₱1,083.00. Cart no longer has these items.</t>
  </si>
  <si>
    <t xml:space="preserve">A2, A8, A20</t>
  </si>
  <si>
    <t xml:space="preserve">BUY-CHK-002</t>
  </si>
  <si>
    <t xml:space="preserve">Shipping fee per store and per address</t>
  </si>
  <si>
    <t xml:space="preserve">1. Check out P-02 with ADDR-1.
2. Switch to ADDR-3.</t>
  </si>
  <si>
    <t xml:space="preserve">ADDR-1 (NCR): ₱50.00. ADDR-3 (Visayas): ₱120.00. The total updates immediately.</t>
  </si>
  <si>
    <t xml:space="preserve">BUY-CHK-003</t>
  </si>
  <si>
    <t xml:space="preserve">Shipping weight at the 1 kg boundary</t>
  </si>
  <si>
    <t xml:space="preserve">Logged in as Buyer 2 (ADDR-3, Visayas).</t>
  </si>
  <si>
    <t xml:space="preserve">1. Check out 5 × P-05 from Seller 2.
2. Change the quantity to 6.</t>
  </si>
  <si>
    <t xml:space="preserve">P-05 is 0.2 kg: 5 units = 1.0 kg, 6 units = 1.2 kg</t>
  </si>
  <si>
    <t xml:space="preserve">1.0 kg is charged as 1 kg: ₱60.00. 1.2 kg is charged as 2 kg: ₱80.00.</t>
  </si>
  <si>
    <t xml:space="preserve">BUY-CHK-004</t>
  </si>
  <si>
    <t xml:space="preserve">Unserviceable address</t>
  </si>
  <si>
    <t xml:space="preserve">1. Select ADDR-4 (Itbayat, Batanes).</t>
  </si>
  <si>
    <t xml:space="preserve">A message says the area is not serviceable and Place Order is disabled. No order can be created.</t>
  </si>
  <si>
    <t xml:space="preserve">BUY-CHK-005</t>
  </si>
  <si>
    <t xml:space="preserve">Note to seller length</t>
  </si>
  <si>
    <t xml:space="preserve">1. Enter 200 characters and place the order.
2. Try 201 characters.</t>
  </si>
  <si>
    <t xml:space="preserve">Note: Paki-wrap po as gift … (to 200)</t>
  </si>
  <si>
    <t xml:space="preserve">200 characters are saved and shown in full on the seller's order. 201 cannot be entered or is rejected.</t>
  </si>
  <si>
    <t xml:space="preserve">BUY-CHK-006</t>
  </si>
  <si>
    <t xml:space="preserve">No payment method selected</t>
  </si>
  <si>
    <t xml:space="preserve">1. Clear the payment method (if possible) and tap Place Order.</t>
  </si>
  <si>
    <t xml:space="preserve">Blocked until a payment method is chosen.</t>
  </si>
  <si>
    <t xml:space="preserve">BUY-CHK-007</t>
  </si>
  <si>
    <t xml:space="preserve">Double-tap Place Order</t>
  </si>
  <si>
    <t xml:space="preserve">1. Double-tap Place Order.
2. Tap Back (or use the Android Back button / iOS swipe back) and tap Place Order again.</t>
  </si>
  <si>
    <t xml:space="preserve">Exactly one order exists. P-02 stock is 19. The resubmit shows the existing order or a message; it does not create another.</t>
  </si>
  <si>
    <t xml:space="preserve">BUY-CHK-008</t>
  </si>
  <si>
    <t xml:space="preserve">Price changed during checkout</t>
  </si>
  <si>
    <t xml:space="preserve">Logged in as Buyer 1. Checkout screen open with P-02 at ₱450.</t>
  </si>
  <si>
    <t xml:space="preserve">1. Seller 1 changes P-02 to ₱480.
2. Tap Place Order.</t>
  </si>
  <si>
    <t xml:space="preserve">The order is not placed at ₱450. A message shows the new price and the summary updates to ₱480 for the buyer to confirm.</t>
  </si>
  <si>
    <t xml:space="preserve">BUY-CHK-009</t>
  </si>
  <si>
    <t xml:space="preserve">Stock ran out during checkout</t>
  </si>
  <si>
    <t xml:space="preserve">Buyer 1's checkout is open with P-03 (stock 1).</t>
  </si>
  <si>
    <t xml:space="preserve">1. Buyer 2 buys P-03 first.
2. Buyer 1 taps Place Order.</t>
  </si>
  <si>
    <t xml:space="preserve">Buyer 1's order is blocked with an out-of-stock message. Stock is 0.</t>
  </si>
  <si>
    <t xml:space="preserve">BUY-CHK-010</t>
  </si>
  <si>
    <t xml:space="preserve">Voucher becomes invalid during checkout</t>
  </si>
  <si>
    <t xml:space="preserve">Logged in as Buyer 1. MCH50 applied on the checkout screen.</t>
  </si>
  <si>
    <t xml:space="preserve">1. Seller 1 ends MCH50.
2. Tap Place Order.</t>
  </si>
  <si>
    <t xml:space="preserve">The order is not placed with MCH50. A message says the voucher is no longer valid and the total is updated.</t>
  </si>
  <si>
    <t xml:space="preserve">BUY-CHK-011</t>
  </si>
  <si>
    <t xml:space="preserve">Tampered price or total in the request</t>
  </si>
  <si>
    <t xml:space="preserve">1. Capture the Place Order request and change the item price or total to ₱1.00.
2. Send it.</t>
  </si>
  <si>
    <t xml:space="preserve">The server ignores or rejects the tampered amount. Any created order uses the real price.</t>
  </si>
  <si>
    <t xml:space="preserve">BUY-CHK-012</t>
  </si>
  <si>
    <t xml:space="preserve">[Mobile] Connection lost after tapping Place Order</t>
  </si>
  <si>
    <t xml:space="preserve">Logged in as Buyer 1. Checkout for 1 × P-02 (COD) is open. P-02 stock is 20.</t>
  </si>
  <si>
    <t xml:space="preserve">1. Tap Place Order and turn on Airplane mode at once.
2. Turn Airplane mode off.
3. Tap Place Order again if the checkout is still shown.
4. Open My Orders and check P-02 stock.</t>
  </si>
  <si>
    <t xml:space="preserve">P-02 × 1, COD</t>
  </si>
  <si>
    <t xml:space="preserve">The app shows a connection error or a waiting state, never a frozen screen. In the end exactly one order exists and P-02 stock is 19.</t>
  </si>
  <si>
    <t xml:space="preserve">A37, M5</t>
  </si>
  <si>
    <t xml:space="preserve">BUY-CHK-013</t>
  </si>
  <si>
    <t xml:space="preserve">[Mobile] App interrupted on the checkout screen</t>
  </si>
  <si>
    <t xml:space="preserve">Logged in as Buyer 1. Checkout is open with the worked example items and vouchers applied.</t>
  </si>
  <si>
    <t xml:space="preserve">1. Press Home and open another app for 5 minutes (or take a phone call).
2. Return to the app.</t>
  </si>
  <si>
    <t xml:space="preserve">The checkout screen still shows the same address, vouchers, payment method and total ₱1,083.00, or it reloads them and tells the buyer what changed. No order is placed without tapping Place Order.</t>
  </si>
  <si>
    <t xml:space="preserve">BUY-PAY-001</t>
  </si>
  <si>
    <t xml:space="preserve">Payment</t>
  </si>
  <si>
    <t xml:space="preserve">COD order</t>
  </si>
  <si>
    <t xml:space="preserve">1. Place an order for P-02 with COD.
2. Open the order.</t>
  </si>
  <si>
    <t xml:space="preserve">The order goes straight to To Ship. Payment shows COD ₱500.00 to collect on delivery.</t>
  </si>
  <si>
    <t xml:space="preserve">BUY-PAY-002</t>
  </si>
  <si>
    <t xml:space="preserve">E-wallet or card payment succeeds</t>
  </si>
  <si>
    <t xml:space="preserve">1. Choose the e-wallet (sandbox).
2. Complete payment.</t>
  </si>
  <si>
    <t xml:space="preserve">Use the gateway's sandbox account or test card</t>
  </si>
  <si>
    <t xml:space="preserve">The order moves To Pay → To Ship and stores a payment reference. The amount charged equals the order total exactly.</t>
  </si>
  <si>
    <t xml:space="preserve">BUY-PAY-003</t>
  </si>
  <si>
    <t xml:space="preserve">Payment fails</t>
  </si>
  <si>
    <t xml:space="preserve">1. Use the sandbox's declined card or failure option.</t>
  </si>
  <si>
    <t xml:space="preserve">The order stays To Pay with 'Payment failed' and Pay Again. It is not marked paid and the seller cannot ship it.</t>
  </si>
  <si>
    <t xml:space="preserve">BUY-PAY-004</t>
  </si>
  <si>
    <t xml:space="preserve">Buyer cancels at the gateway</t>
  </si>
  <si>
    <t xml:space="preserve">1. On the gateway screen tap Cancel / Back.</t>
  </si>
  <si>
    <t xml:space="preserve">Buyer returns to the order in To Pay. No duplicate order is created.</t>
  </si>
  <si>
    <t xml:space="preserve">BUY-PAY-005</t>
  </si>
  <si>
    <t xml:space="preserve">App closed on the gateway screen</t>
  </si>
  <si>
    <t xml:space="preserve">1. On the gateway screen (or in the e-wallet app), complete payment, then immediately force-close the marketplace app (swipe it away from recent apps).
2. Reopen the app and open My Orders.</t>
  </si>
  <si>
    <t xml:space="preserve">The order shows To Ship once the gateway confirms. It is charged once only.</t>
  </si>
  <si>
    <t xml:space="preserve">A37, M4</t>
  </si>
  <si>
    <t xml:space="preserve">BUY-PAY-006</t>
  </si>
  <si>
    <t xml:space="preserve">Unpaid order auto-cancels</t>
  </si>
  <si>
    <t xml:space="preserve">Logged in as Buyer 1. An e-wallet order for P-02 with MCH50 is To Pay; stock is 19.</t>
  </si>
  <si>
    <t xml:space="preserve">1. Wait past 1 hour.
2. Check the order, P-02 stock and My Vouchers.</t>
  </si>
  <si>
    <t xml:space="preserve">The order is Cancelled (reason: unpaid). Stock is 20. MCH50 is back in the wallet.</t>
  </si>
  <si>
    <t xml:space="preserve">A3, A6, A21</t>
  </si>
  <si>
    <t xml:space="preserve">BUY-PAY-007</t>
  </si>
  <si>
    <t xml:space="preserve">Pay just before vs after the auto-cancel time</t>
  </si>
  <si>
    <t xml:space="preserve">1. Pay one order at 59 minutes.
2. Try to pay another at 61 minutes.</t>
  </si>
  <si>
    <t xml:space="preserve">The 59-minute payment succeeds. The 61-minute order is already Cancelled and Pay is not available.</t>
  </si>
  <si>
    <t xml:space="preserve">BUY-PAY-008</t>
  </si>
  <si>
    <t xml:space="preserve">[Mobile] Pay in the e-wallet app and switch back</t>
  </si>
  <si>
    <t xml:space="preserve">Logged in as Buyer 1. The e-wallet sandbox opens a wallet app or an in-app browser.</t>
  </si>
  <si>
    <t xml:space="preserve">1. Place an order for P-02 with the e-wallet.
2. Complete payment in the wallet app (or in-app browser).
3. Return to the marketplace app (automatic redirect, or switch apps by hand).</t>
  </si>
  <si>
    <t xml:space="preserve">Use the gateway's sandbox account</t>
  </si>
  <si>
    <t xml:space="preserve">The app returns to the order, which shows To Ship with the payment reference and is charged once. When returning by hand, the order updates (after a pull-to-refresh at most) and Pay is not offered again.</t>
  </si>
  <si>
    <t xml:space="preserve">BUY-PAY-009</t>
  </si>
  <si>
    <t xml:space="preserve">[Mobile] Back button while payment is processing</t>
  </si>
  <si>
    <t xml:space="preserve">Logged in as Buyer 1. An e-wallet order for P-02 is To Pay.</t>
  </si>
  <si>
    <t xml:space="preserve">1. Tap Pay and, while the processing indicator shows, press Android Back (or swipe back) twice.
2. Open the order.</t>
  </si>
  <si>
    <t xml:space="preserve">The app asks before leaving, or ignores Back while processing. In the end the order is either paid once or still To Pay with Pay Again; never two payments or two orders.</t>
  </si>
  <si>
    <t xml:space="preserve">A37, M8</t>
  </si>
  <si>
    <t xml:space="preserve">BUY-TRK-001</t>
  </si>
  <si>
    <t xml:space="preserve">Order Tracking &amp; History</t>
  </si>
  <si>
    <t xml:space="preserve">Orders appear in the correct tab</t>
  </si>
  <si>
    <t xml:space="preserve">Logged in as Buyer 1. Orders exist in each status.</t>
  </si>
  <si>
    <t xml:space="preserve">1. Open each tab: To Pay, To Ship, To Receive, Completed, Cancelled, Return/Refund.
2. Compare tab counts with rows.</t>
  </si>
  <si>
    <t xml:space="preserve">Each order is in exactly one tab matching its status; counts match.</t>
  </si>
  <si>
    <t xml:space="preserve">BUY-TRK-002</t>
  </si>
  <si>
    <t xml:space="preserve">Timeline matches seller, rider, courier and logistics updates</t>
  </si>
  <si>
    <t xml:space="preserve">Logged in as Buyer 1. A COD order to ADDR-2 (Makati, delivered from HUB-PSG) is Ready for Pickup.</t>
  </si>
  <si>
    <t xml:space="preserve">1. Logistics 1 assigns Rider 1; Rider 1 picks up; HUB-QC scans the parcel in; Courier 1 carries it on a trip to HUB-PSG (Depart, then HUB-PSG scans it in); Rider 2 goes Out for Delivery.
2. Pull to refresh Buyer 1's order after each step.</t>
  </si>
  <si>
    <t xml:space="preserve">Each event appears once, in order, with its time: Picked Up, At Hub (HUB-QC), In Transit to HUB-PSG, At Hub (HUB-PSG), Out for Delivery. The order moves to To Receive at Picked Up. The courier's name and location are not shown to the buyer.</t>
  </si>
  <si>
    <t xml:space="preserve">A10, A38</t>
  </si>
  <si>
    <t xml:space="preserve">BUY-TRK-003</t>
  </si>
  <si>
    <t xml:space="preserve">Order Received button</t>
  </si>
  <si>
    <t xml:space="preserve">Logged in as Buyer 1. An order is Delivered.</t>
  </si>
  <si>
    <t xml:space="preserve">1. Tap Order Received and confirm.
2. Check Seller 1's earnings.</t>
  </si>
  <si>
    <t xml:space="preserve">The order moves to Completed and the Rate button appears. Seller 1's earnings for it become Available.</t>
  </si>
  <si>
    <t xml:space="preserve">A11, A15</t>
  </si>
  <si>
    <t xml:space="preserve">BUY-TRK-004</t>
  </si>
  <si>
    <t xml:space="preserve">Order Received not available before delivery</t>
  </si>
  <si>
    <t xml:space="preserve">Logged in as Buyer 1. An order is Out for Delivery.</t>
  </si>
  <si>
    <t xml:space="preserve">1. Look for Order Received.
2. Try the request directly if possible.</t>
  </si>
  <si>
    <t xml:space="preserve">Not shown; a direct request is rejected.</t>
  </si>
  <si>
    <t xml:space="preserve">A11, M11</t>
  </si>
  <si>
    <t xml:space="preserve">BUY-TRK-005</t>
  </si>
  <si>
    <t xml:space="preserve">Automatic completion</t>
  </si>
  <si>
    <t xml:space="preserve">An order was Delivered.</t>
  </si>
  <si>
    <t xml:space="preserve">1. Check it just before and just after 7 days.</t>
  </si>
  <si>
    <t xml:space="preserve">To Receive before 7 days; Completed after, and earnings are released.</t>
  </si>
  <si>
    <t xml:space="preserve">BUY-TRK-006</t>
  </si>
  <si>
    <t xml:space="preserve">Cannot open another buyer's order</t>
  </si>
  <si>
    <t xml:space="preserve">1. Change the order ID in the deep link or API request to Buyer 2's order.</t>
  </si>
  <si>
    <t xml:space="preserve">Denied. No details of Buyer 2's order are shown.</t>
  </si>
  <si>
    <t xml:space="preserve">BUY-TRK-007</t>
  </si>
  <si>
    <t xml:space="preserve">[Mobile] Push notification opens the order</t>
  </si>
  <si>
    <t xml:space="preserve">Logged in as Buyer 1 with notifications allowed. A COD order is Ready for Pickup.</t>
  </si>
  <si>
    <t xml:space="preserve">1. Close the app (swipe it away). Rider 1 marks the parcel Picked Up.
2. Tap the push notification.
3. With the app open on the home screen, Rider 1 marks Out for Delivery.</t>
  </si>
  <si>
    <t xml:space="preserve">Step 1: a push notification for the change arrives, including on the lock screen. Step 2: the app opens on that order's tracking screen. Step 3: an in-app banner appears and the order screen updates. Exactly one notification per change.</t>
  </si>
  <si>
    <t xml:space="preserve">A23, M10</t>
  </si>
  <si>
    <t xml:space="preserve">BUY-CAN-001</t>
  </si>
  <si>
    <t xml:space="preserve">Cancellation</t>
  </si>
  <si>
    <t xml:space="preserve">Cancel a COD order before shipping</t>
  </si>
  <si>
    <t xml:space="preserve">Logged in as Buyer 1. A COD order for 2 × P-02 is Accepted; stock is 18.</t>
  </si>
  <si>
    <t xml:space="preserve">1. Tap Cancel, choose 'Changed my mind', confirm.
2. Check stock and Seller 1's notifications.</t>
  </si>
  <si>
    <t xml:space="preserve">The order is Cancelled on both sides. Stock is 20. Seller 1 is notified with the reason.</t>
  </si>
  <si>
    <t xml:space="preserve">A3, A6, A23</t>
  </si>
  <si>
    <t xml:space="preserve">BUY-CAN-002</t>
  </si>
  <si>
    <t xml:space="preserve">Reason is required</t>
  </si>
  <si>
    <t xml:space="preserve">1. Tap Cancel and confirm without a reason.</t>
  </si>
  <si>
    <t xml:space="preserve">Blocked until a reason is chosen. The order is unchanged.</t>
  </si>
  <si>
    <t xml:space="preserve">BUY-CAN-003</t>
  </si>
  <si>
    <t xml:space="preserve">Cancel a prepaid order</t>
  </si>
  <si>
    <t xml:space="preserve">Logged in as Buyer 1. A paid e-wallet order with MCH50 is To Ship.</t>
  </si>
  <si>
    <t xml:space="preserve">1. Cancel with a reason.</t>
  </si>
  <si>
    <t xml:space="preserve">The order is Cancelled and a refund for the exact amount paid is started. MCH50 returns to the wallet.</t>
  </si>
  <si>
    <t xml:space="preserve">A6, A21</t>
  </si>
  <si>
    <t xml:space="preserve">BUY-CAN-004</t>
  </si>
  <si>
    <t xml:space="preserve">No cancel after Ready for Pickup</t>
  </si>
  <si>
    <t xml:space="preserve">Logged in as Buyer 1. Seller marked Ready for Pickup.</t>
  </si>
  <si>
    <t xml:space="preserve">1. Look for Cancel.
2. Try the cancel request directly if possible.</t>
  </si>
  <si>
    <t xml:space="preserve">No Cancel option; a direct request is rejected and the status is unchanged.</t>
  </si>
  <si>
    <t xml:space="preserve">A6, M11</t>
  </si>
  <si>
    <t xml:space="preserve">BUY-CAN-005</t>
  </si>
  <si>
    <t xml:space="preserve">No cancel after shipping</t>
  </si>
  <si>
    <t xml:space="preserve">Logged in as Buyer 1. Rider picked up the parcel.</t>
  </si>
  <si>
    <t xml:space="preserve">1. Look for Cancel.</t>
  </si>
  <si>
    <t xml:space="preserve">No Cancel option.</t>
  </si>
  <si>
    <t xml:space="preserve">BUY-CAN-006</t>
  </si>
  <si>
    <t xml:space="preserve">Double-tap Cancel</t>
  </si>
  <si>
    <t xml:space="preserve">1. Double-tap Confirm Cancel.</t>
  </si>
  <si>
    <t xml:space="preserve">One cancellation; stock restored once (not twice).</t>
  </si>
  <si>
    <t xml:space="preserve">BUY-RET-001</t>
  </si>
  <si>
    <t xml:space="preserve">Return &amp; Refund Request</t>
  </si>
  <si>
    <t xml:space="preserve">Request a return within the window</t>
  </si>
  <si>
    <t xml:space="preserve">Logged in as Buyer 1. A P-02 order was Delivered 2 days ago.</t>
  </si>
  <si>
    <t xml:space="preserve">1. Tap Return/Refund.
2. Choose the item, reason, description and upload 2 photos.
3. Submit.</t>
  </si>
  <si>
    <t xml:space="preserve">Reason: Damaged item
Description: Basket arrived with a broken rim.
Photos: review_photo.jpg, product_front.jpg</t>
  </si>
  <si>
    <t xml:space="preserve">The request is submitted. The order moves to Return/Refund. Seller 1 is notified. The order can no longer be completed automatically while the request is open.</t>
  </si>
  <si>
    <t xml:space="preserve">A11, A31</t>
  </si>
  <si>
    <t xml:space="preserve">BUY-RET-002</t>
  </si>
  <si>
    <t xml:space="preserve">Return not allowed before delivery</t>
  </si>
  <si>
    <t xml:space="preserve">Logged in as Buyer 1. An order is To Ship.</t>
  </si>
  <si>
    <t xml:space="preserve">1. Look for Return/Refund.</t>
  </si>
  <si>
    <t xml:space="preserve">Not available.</t>
  </si>
  <si>
    <t xml:space="preserve">BUY-RET-003</t>
  </si>
  <si>
    <t xml:space="preserve">Return window boundary</t>
  </si>
  <si>
    <t xml:space="preserve">1. Request on day 7 after Delivered.
2. Try on another order 7 days + 1 hour after Delivered (now Completed).</t>
  </si>
  <si>
    <t xml:space="preserve">Allowed on day 7. Not available after the window or once Completed.</t>
  </si>
  <si>
    <t xml:space="preserve">BUY-RET-004</t>
  </si>
  <si>
    <t xml:space="preserve">Evidence and description rules</t>
  </si>
  <si>
    <t xml:space="preserve">1. Submit with 0 photos.
2. Submit with 6 photos.
3. Submit a 5.1 MB photo.
4. Submit a 9-character description.</t>
  </si>
  <si>
    <t xml:space="preserve">Each is blocked with a message. 1 to 5 valid photos and 10+ characters are required.</t>
  </si>
  <si>
    <t xml:space="preserve">BUY-RET-005</t>
  </si>
  <si>
    <t xml:space="preserve">Track request status</t>
  </si>
  <si>
    <t xml:space="preserve">A request exists.</t>
  </si>
  <si>
    <t xml:space="preserve">1. Seller 1 rejects with a reason.
2. Open the request.</t>
  </si>
  <si>
    <t xml:space="preserve">Status Rejected with the seller's exact reason and an Escalate button.</t>
  </si>
  <si>
    <t xml:space="preserve">BUY-RET-006</t>
  </si>
  <si>
    <t xml:space="preserve">[Mobile] Return evidence from the camera and the gallery</t>
  </si>
  <si>
    <t xml:space="preserve">Logged in as Buyer 1. A P-02 order was Delivered 2 days ago. review_photo.jpg and product_front.jpg are in Photos.</t>
  </si>
  <si>
    <t xml:space="preserve">1. In the return form, take 1 photo with the camera.
2. Add 2 photos from the gallery in one multi-select.
3. Remove one photo, then submit.</t>
  </si>
  <si>
    <t xml:space="preserve">Reason: Damaged item
Description: Basket arrived with a broken rim.</t>
  </si>
  <si>
    <t xml:space="preserve">Photos are attached in the chosen order with previews, and a photo can be removed before submitting. The request is submitted with 2 photos and Seller 1 sees the same 2 photos.</t>
  </si>
  <si>
    <t xml:space="preserve">A31, M6, M7</t>
  </si>
  <si>
    <t xml:space="preserve">BUY-RATE-001</t>
  </si>
  <si>
    <t xml:space="preserve">Ratings &amp; Reviews</t>
  </si>
  <si>
    <t xml:space="preserve">Rate a completed order</t>
  </si>
  <si>
    <t xml:space="preserve">Logged in as Buyer 1. An order with P-02 is Completed.</t>
  </si>
  <si>
    <t xml:space="preserve">1. Tap Rate.
2. Choose 5 stars, add text and a photo.
3. Submit.
4. Open P-02's reviews as Buyer 2.</t>
  </si>
  <si>
    <t xml:space="preserve">Text: Matibay at maganda!
Photo: review_photo.jpg</t>
  </si>
  <si>
    <t xml:space="preserve">The review appears on P-02 with 5 stars, the text, the photo, the variant and Buyer 1's (masked) name.</t>
  </si>
  <si>
    <t xml:space="preserve">BUY-RATE-002</t>
  </si>
  <si>
    <t xml:space="preserve">Rating not allowed before completion</t>
  </si>
  <si>
    <t xml:space="preserve">Logged in as Buyer 1. The order is To Receive.</t>
  </si>
  <si>
    <t xml:space="preserve">1. Look for Rate.
2. Try the request directly.</t>
  </si>
  <si>
    <t xml:space="preserve">Not available; a direct request is rejected.</t>
  </si>
  <si>
    <t xml:space="preserve">A12, M11</t>
  </si>
  <si>
    <t xml:space="preserve">BUY-RATE-003</t>
  </si>
  <si>
    <t xml:space="preserve">One review per item</t>
  </si>
  <si>
    <t xml:space="preserve">Logged in as Buyer 1. P-02 already reviewed in this order.</t>
  </si>
  <si>
    <t xml:space="preserve">1. Try to rate it again.</t>
  </si>
  <si>
    <t xml:space="preserve">Blocked; only Edit is offered.</t>
  </si>
  <si>
    <t xml:space="preserve">BUY-RATE-004</t>
  </si>
  <si>
    <t xml:space="preserve">Stars, text and photo limits</t>
  </si>
  <si>
    <t xml:space="preserve">1. Submit with 0 stars.
2. Submit 500 characters of text, then 501.
3. Attach 5 photos, then try a 6th.</t>
  </si>
  <si>
    <t xml:space="preserve">0 stars is blocked. 500 characters and 5 photos are accepted; 501 characters and a 6th photo are not.</t>
  </si>
  <si>
    <t xml:space="preserve">BUY-RATE-005</t>
  </si>
  <si>
    <t xml:space="preserve">Edit once within the window</t>
  </si>
  <si>
    <t xml:space="preserve">1. Edit the review once.
2. Try to edit again.
3. On another review older than 30 days, try to edit.</t>
  </si>
  <si>
    <t xml:space="preserve">The first edit saves. A second edit and an edit after 30 days are not possible.</t>
  </si>
  <si>
    <t xml:space="preserve">BUY-RATE-006</t>
  </si>
  <si>
    <t xml:space="preserve">Average rating updates</t>
  </si>
  <si>
    <t xml:space="preserve">P-02 has one 4-star review.</t>
  </si>
  <si>
    <t xml:space="preserve">1. Buyer 2 adds a 2-star review.</t>
  </si>
  <si>
    <t xml:space="preserve">Average becomes 3.0 and the count 2 on the product screen and search card.</t>
  </si>
  <si>
    <t xml:space="preserve">BUY-RATE-007</t>
  </si>
  <si>
    <t xml:space="preserve">[Mobile] Review photos from the camera and a multi-select</t>
  </si>
  <si>
    <t xml:space="preserve">Logged in as Buyer 1. An order with P-02 is Completed and not yet reviewed.</t>
  </si>
  <si>
    <t xml:space="preserve">1. Tap Rate and take 1 photo with the camera.
2. Open the gallery and select 5 more photos at once.</t>
  </si>
  <si>
    <t xml:space="preserve">No more than 5 photos can be attached: the gallery stops at 4 more, or a message says only 5 are allowed. The review saves with 5 photos.</t>
  </si>
  <si>
    <t xml:space="preserve">A12, M7</t>
  </si>
  <si>
    <t xml:space="preserve">BUY-CHAT-001</t>
  </si>
  <si>
    <t xml:space="preserve">Chat &amp; Notifications</t>
  </si>
  <si>
    <t xml:space="preserve">Chat with a seller from a product</t>
  </si>
  <si>
    <t xml:space="preserve">1. On P-02 tap Chat.
2. Send a message and an image.</t>
  </si>
  <si>
    <t xml:space="preserve">Hi, available pa po ba?
review_photo.jpg</t>
  </si>
  <si>
    <t xml:space="preserve">Seller 1 receives both in order. The chat shows the P-02 product card.</t>
  </si>
  <si>
    <t xml:space="preserve">BUY-CHAT-002</t>
  </si>
  <si>
    <t xml:space="preserve">Invalid attachments and message length</t>
  </si>
  <si>
    <t xml:space="preserve">1. Attach installer.exe and size_5.1MB.jpg.
2. Send 1,001 characters.</t>
  </si>
  <si>
    <t xml:space="preserve">All are rejected; nothing is sent.</t>
  </si>
  <si>
    <t xml:space="preserve">A16, A25</t>
  </si>
  <si>
    <t xml:space="preserve">BUY-CHAT-003</t>
  </si>
  <si>
    <t xml:space="preserve">Order status notifications</t>
  </si>
  <si>
    <t xml:space="preserve">1. Move an order through Accepted, Picked Up, Out for Delivery and Delivered.</t>
  </si>
  <si>
    <t xml:space="preserve">Exactly one notification per change. Each opens the right order.</t>
  </si>
  <si>
    <t xml:space="preserve">BUY-CHAT-004</t>
  </si>
  <si>
    <t xml:space="preserve">Flash-sale reminder</t>
  </si>
  <si>
    <t xml:space="preserve">Logged in as Buyer 1. Set a reminder for P-02's flash sale.</t>
  </si>
  <si>
    <t xml:space="preserve">1. Wait for the slot to start.</t>
  </si>
  <si>
    <t xml:space="preserve">A reminder arrives before the slot starts and links to P-02.</t>
  </si>
  <si>
    <t xml:space="preserve">BUY-CHAT-005</t>
  </si>
  <si>
    <t xml:space="preserve">Mark notifications as read</t>
  </si>
  <si>
    <t xml:space="preserve">Logged in as Buyer 1. 3 unread notifications.</t>
  </si>
  <si>
    <t xml:space="preserve">1. Open one notification.
2. Tap Mark all as read.</t>
  </si>
  <si>
    <t xml:space="preserve">Unread count goes 3 → 2 → 0.</t>
  </si>
  <si>
    <t xml:space="preserve">BUY-CHAT-006</t>
  </si>
  <si>
    <t xml:space="preserve">[Mobile] Chat message while the app is in the background</t>
  </si>
  <si>
    <t xml:space="preserve">Logged in as Buyer 1 with notifications allowed.</t>
  </si>
  <si>
    <t xml:space="preserve">1. Put the app in the background.
2. Seller 1 sends a chat message.
3. Tap the push notification.</t>
  </si>
  <si>
    <t xml:space="preserve">Seller 1: Opo, available pa.</t>
  </si>
  <si>
    <t xml:space="preserve">A push notification shows Seller 1's name and a preview of the message. Tapping it opens that chat with the message shown once.</t>
  </si>
  <si>
    <t xml:space="preserve">BUY-CHAT-007</t>
  </si>
  <si>
    <t xml:space="preserve">[Mobile] Notifications turned off in phone Settings</t>
  </si>
  <si>
    <t xml:space="preserve">1. Turn off notifications for the app in phone Settings.
2. Move one of Buyer 1's orders to Picked Up.
3. Open the app's notification list.</t>
  </si>
  <si>
    <t xml:space="preserve">No push notification arrives, and the app neither crashes nor keeps asking. The in-app notification list still shows the update.</t>
  </si>
  <si>
    <t xml:space="preserve">M6, M10</t>
  </si>
  <si>
    <t xml:space="preserve">BUY-CHAT-008</t>
  </si>
  <si>
    <t xml:space="preserve">[Mobile] Send a chat message with no internet</t>
  </si>
  <si>
    <t xml:space="preserve">Logged in as Buyer 1. A chat with Seller 1 is open.</t>
  </si>
  <si>
    <t xml:space="preserve">1. Turn on Airplane mode and send a message.
2. Turn Airplane mode off.</t>
  </si>
  <si>
    <t xml:space="preserve">Hello po</t>
  </si>
  <si>
    <t xml:space="preserve">The message is marked not sent with a retry option, or is sent automatically once online. Seller 1 receives it exactly once.</t>
  </si>
</sst>
</file>

<file path=xl/styles.xml><?xml version="1.0" encoding="utf-8"?>
<styleSheet xmlns="http://schemas.openxmlformats.org/spreadsheetml/2006/main">
  <numFmts count="3">
    <numFmt numFmtId="164" formatCode="General"/>
    <numFmt numFmtId="165" formatCode="General"/>
    <numFmt numFmtId="166" formatCode="0.0%"/>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s>
  <fills count="5">
    <fill>
      <patternFill patternType="none"/>
    </fill>
    <fill>
      <patternFill patternType="gray125"/>
    </fill>
    <fill>
      <patternFill patternType="solid">
        <fgColor rgb="FFF2F2F2"/>
        <bgColor rgb="FFFFFFFF"/>
      </patternFill>
    </fill>
    <fill>
      <patternFill patternType="solid">
        <fgColor rgb="FFFFF2CC"/>
        <bgColor rgb="FFF2F2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6" fontId="7" fillId="2"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drawing" Target="../drawings/drawing12.xml"/>
</Relationships>
</file>

<file path=xl/worksheets/_rels/sheet17.xml.rels><?xml version="1.0" encoding="UTF-8"?>
<Relationships xmlns="http://schemas.openxmlformats.org/package/2006/relationships"><Relationship Id="rId1" Type="http://schemas.openxmlformats.org/officeDocument/2006/relationships/drawing" Target="../drawings/drawing13.xml"/>
</Relationships>
</file>

<file path=xl/worksheets/_rels/sheet18.xml.rels><?xml version="1.0" encoding="UTF-8"?>
<Relationships xmlns="http://schemas.openxmlformats.org/package/2006/relationships"><Relationship Id="rId1" Type="http://schemas.openxmlformats.org/officeDocument/2006/relationships/drawing" Target="../drawings/drawing1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34"/>
    <col collapsed="false" customWidth="true" hidden="false" outlineLevel="0" max="6" min="3" style="0" width="10"/>
    <col collapsed="false" customWidth="true" hidden="false" outlineLevel="0" max="7" min="7" style="0" width="2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row>
    <row r="6" customFormat="false" ht="15" hidden="false" customHeight="false" outlineLevel="0" collapsed="false">
      <c r="A6" s="4" t="s">
        <v>4</v>
      </c>
      <c r="B6" s="5"/>
    </row>
    <row r="7" customFormat="false" ht="23.85" hidden="false" customHeight="false" outlineLevel="0" collapsed="false">
      <c r="A7" s="4" t="s">
        <v>5</v>
      </c>
      <c r="B7" s="5"/>
    </row>
    <row r="8" customFormat="false" ht="15" hidden="false" customHeight="false" outlineLevel="0" collapsed="false">
      <c r="A8" s="4" t="s">
        <v>6</v>
      </c>
      <c r="B8" s="5"/>
    </row>
    <row r="9" customFormat="false" ht="15" hidden="false" customHeight="false" outlineLevel="0" collapsed="false">
      <c r="A9" s="4" t="s">
        <v>7</v>
      </c>
      <c r="B9" s="5"/>
    </row>
    <row r="11" customFormat="false" ht="15" hidden="false" customHeight="false" outlineLevel="0" collapsed="false">
      <c r="A11" s="3" t="s">
        <v>8</v>
      </c>
    </row>
    <row r="12" customFormat="false" ht="15" hidden="false" customHeight="false" outlineLevel="0" collapsed="false">
      <c r="A12" s="6" t="s">
        <v>9</v>
      </c>
      <c r="B12" s="6" t="s">
        <v>10</v>
      </c>
      <c r="C12" s="6" t="s">
        <v>11</v>
      </c>
      <c r="D12" s="6" t="s">
        <v>12</v>
      </c>
      <c r="E12" s="6" t="s">
        <v>13</v>
      </c>
      <c r="F12" s="6" t="s">
        <v>14</v>
      </c>
      <c r="G12" s="6" t="s">
        <v>15</v>
      </c>
    </row>
    <row r="13" customFormat="false" ht="15" hidden="false" customHeight="false" outlineLevel="0" collapsed="false">
      <c r="A13" s="7" t="s">
        <v>16</v>
      </c>
      <c r="B13" s="8" t="n">
        <f aca="false">COUNTA('B1 Account'!$A$2:$A$200)</f>
        <v>12</v>
      </c>
      <c r="C13" s="8" t="n">
        <f aca="false">COUNTIF('B1 Account'!$L$2:$L$200,"Pass")</f>
        <v>0</v>
      </c>
      <c r="D13" s="8" t="n">
        <f aca="false">COUNTIF('B1 Account'!$L$2:$L$200,"Fail")</f>
        <v>0</v>
      </c>
      <c r="E13" s="8" t="n">
        <f aca="false">COUNTIF('B1 Account'!$L$2:$L$200,"Blocked")</f>
        <v>0</v>
      </c>
      <c r="F13" s="8" t="n">
        <f aca="false">COUNTIF('B1 Account'!$L$2:$L$200,"Not Run")</f>
        <v>12</v>
      </c>
      <c r="G13" s="9" t="n">
        <f aca="false">IF(B13=0,0,C13/B13)</f>
        <v>0</v>
      </c>
    </row>
    <row r="14" customFormat="false" ht="15" hidden="false" customHeight="false" outlineLevel="0" collapsed="false">
      <c r="A14" s="7" t="s">
        <v>17</v>
      </c>
      <c r="B14" s="8" t="n">
        <f aca="false">COUNTA('B2 Address Book'!$A$2:$A$200)</f>
        <v>11</v>
      </c>
      <c r="C14" s="8" t="n">
        <f aca="false">COUNTIF('B2 Address Book'!$L$2:$L$200,"Pass")</f>
        <v>0</v>
      </c>
      <c r="D14" s="8" t="n">
        <f aca="false">COUNTIF('B2 Address Book'!$L$2:$L$200,"Fail")</f>
        <v>0</v>
      </c>
      <c r="E14" s="8" t="n">
        <f aca="false">COUNTIF('B2 Address Book'!$L$2:$L$200,"Blocked")</f>
        <v>0</v>
      </c>
      <c r="F14" s="8" t="n">
        <f aca="false">COUNTIF('B2 Address Book'!$L$2:$L$200,"Not Run")</f>
        <v>11</v>
      </c>
      <c r="G14" s="9" t="n">
        <f aca="false">IF(B14=0,0,C14/B14)</f>
        <v>0</v>
      </c>
    </row>
    <row r="15" customFormat="false" ht="15" hidden="false" customHeight="false" outlineLevel="0" collapsed="false">
      <c r="A15" s="7" t="s">
        <v>18</v>
      </c>
      <c r="B15" s="8" t="n">
        <f aca="false">COUNTA('B3 Browse &amp; Search'!$A$2:$A$200)</f>
        <v>13</v>
      </c>
      <c r="C15" s="8" t="n">
        <f aca="false">COUNTIF('B3 Browse &amp; Search'!$L$2:$L$200,"Pass")</f>
        <v>0</v>
      </c>
      <c r="D15" s="8" t="n">
        <f aca="false">COUNTIF('B3 Browse &amp; Search'!$L$2:$L$200,"Fail")</f>
        <v>0</v>
      </c>
      <c r="E15" s="8" t="n">
        <f aca="false">COUNTIF('B3 Browse &amp; Search'!$L$2:$L$200,"Blocked")</f>
        <v>0</v>
      </c>
      <c r="F15" s="8" t="n">
        <f aca="false">COUNTIF('B3 Browse &amp; Search'!$L$2:$L$200,"Not Run")</f>
        <v>13</v>
      </c>
      <c r="G15" s="9" t="n">
        <f aca="false">IF(B15=0,0,C15/B15)</f>
        <v>0</v>
      </c>
    </row>
    <row r="16" customFormat="false" ht="15" hidden="false" customHeight="false" outlineLevel="0" collapsed="false">
      <c r="A16" s="7" t="s">
        <v>19</v>
      </c>
      <c r="B16" s="8" t="n">
        <f aca="false">COUNTA('B4 Product Detail'!$A$2:$A$200)</f>
        <v>10</v>
      </c>
      <c r="C16" s="8" t="n">
        <f aca="false">COUNTIF('B4 Product Detail'!$L$2:$L$200,"Pass")</f>
        <v>0</v>
      </c>
      <c r="D16" s="8" t="n">
        <f aca="false">COUNTIF('B4 Product Detail'!$L$2:$L$200,"Fail")</f>
        <v>0</v>
      </c>
      <c r="E16" s="8" t="n">
        <f aca="false">COUNTIF('B4 Product Detail'!$L$2:$L$200,"Blocked")</f>
        <v>0</v>
      </c>
      <c r="F16" s="8" t="n">
        <f aca="false">COUNTIF('B4 Product Detail'!$L$2:$L$200,"Not Run")</f>
        <v>10</v>
      </c>
      <c r="G16" s="9" t="n">
        <f aca="false">IF(B16=0,0,C16/B16)</f>
        <v>0</v>
      </c>
    </row>
    <row r="17" customFormat="false" ht="15" hidden="false" customHeight="false" outlineLevel="0" collapsed="false">
      <c r="A17" s="7" t="s">
        <v>20</v>
      </c>
      <c r="B17" s="8" t="n">
        <f aca="false">COUNTA('B5 Wishlist &amp; Follow'!$A$2:$A$200)</f>
        <v>5</v>
      </c>
      <c r="C17" s="8" t="n">
        <f aca="false">COUNTIF('B5 Wishlist &amp; Follow'!$L$2:$L$200,"Pass")</f>
        <v>0</v>
      </c>
      <c r="D17" s="8" t="n">
        <f aca="false">COUNTIF('B5 Wishlist &amp; Follow'!$L$2:$L$200,"Fail")</f>
        <v>0</v>
      </c>
      <c r="E17" s="8" t="n">
        <f aca="false">COUNTIF('B5 Wishlist &amp; Follow'!$L$2:$L$200,"Blocked")</f>
        <v>0</v>
      </c>
      <c r="F17" s="8" t="n">
        <f aca="false">COUNTIF('B5 Wishlist &amp; Follow'!$L$2:$L$200,"Not Run")</f>
        <v>5</v>
      </c>
      <c r="G17" s="9" t="n">
        <f aca="false">IF(B17=0,0,C17/B17)</f>
        <v>0</v>
      </c>
    </row>
    <row r="18" customFormat="false" ht="15" hidden="false" customHeight="false" outlineLevel="0" collapsed="false">
      <c r="A18" s="7" t="s">
        <v>21</v>
      </c>
      <c r="B18" s="8" t="n">
        <f aca="false">COUNTA('B6 Cart'!$A$2:$A$200)</f>
        <v>12</v>
      </c>
      <c r="C18" s="8" t="n">
        <f aca="false">COUNTIF('B6 Cart'!$L$2:$L$200,"Pass")</f>
        <v>0</v>
      </c>
      <c r="D18" s="8" t="n">
        <f aca="false">COUNTIF('B6 Cart'!$L$2:$L$200,"Fail")</f>
        <v>0</v>
      </c>
      <c r="E18" s="8" t="n">
        <f aca="false">COUNTIF('B6 Cart'!$L$2:$L$200,"Blocked")</f>
        <v>0</v>
      </c>
      <c r="F18" s="8" t="n">
        <f aca="false">COUNTIF('B6 Cart'!$L$2:$L$200,"Not Run")</f>
        <v>12</v>
      </c>
      <c r="G18" s="9" t="n">
        <f aca="false">IF(B18=0,0,C18/B18)</f>
        <v>0</v>
      </c>
    </row>
    <row r="19" customFormat="false" ht="15" hidden="false" customHeight="false" outlineLevel="0" collapsed="false">
      <c r="A19" s="7" t="s">
        <v>22</v>
      </c>
      <c r="B19" s="8" t="n">
        <f aca="false">COUNTA('B7 Vouchers'!$A$2:$A$200)</f>
        <v>12</v>
      </c>
      <c r="C19" s="8" t="n">
        <f aca="false">COUNTIF('B7 Vouchers'!$L$2:$L$200,"Pass")</f>
        <v>0</v>
      </c>
      <c r="D19" s="8" t="n">
        <f aca="false">COUNTIF('B7 Vouchers'!$L$2:$L$200,"Fail")</f>
        <v>0</v>
      </c>
      <c r="E19" s="8" t="n">
        <f aca="false">COUNTIF('B7 Vouchers'!$L$2:$L$200,"Blocked")</f>
        <v>0</v>
      </c>
      <c r="F19" s="8" t="n">
        <f aca="false">COUNTIF('B7 Vouchers'!$L$2:$L$200,"Not Run")</f>
        <v>12</v>
      </c>
      <c r="G19" s="9" t="n">
        <f aca="false">IF(B19=0,0,C19/B19)</f>
        <v>0</v>
      </c>
    </row>
    <row r="20" customFormat="false" ht="15" hidden="false" customHeight="false" outlineLevel="0" collapsed="false">
      <c r="A20" s="7" t="s">
        <v>23</v>
      </c>
      <c r="B20" s="8" t="n">
        <f aca="false">COUNTA('B8 Checkout'!$A$2:$A$200)</f>
        <v>13</v>
      </c>
      <c r="C20" s="8" t="n">
        <f aca="false">COUNTIF('B8 Checkout'!$L$2:$L$200,"Pass")</f>
        <v>0</v>
      </c>
      <c r="D20" s="8" t="n">
        <f aca="false">COUNTIF('B8 Checkout'!$L$2:$L$200,"Fail")</f>
        <v>0</v>
      </c>
      <c r="E20" s="8" t="n">
        <f aca="false">COUNTIF('B8 Checkout'!$L$2:$L$200,"Blocked")</f>
        <v>0</v>
      </c>
      <c r="F20" s="8" t="n">
        <f aca="false">COUNTIF('B8 Checkout'!$L$2:$L$200,"Not Run")</f>
        <v>13</v>
      </c>
      <c r="G20" s="9" t="n">
        <f aca="false">IF(B20=0,0,C20/B20)</f>
        <v>0</v>
      </c>
    </row>
    <row r="21" customFormat="false" ht="15" hidden="false" customHeight="false" outlineLevel="0" collapsed="false">
      <c r="A21" s="7" t="s">
        <v>24</v>
      </c>
      <c r="B21" s="8" t="n">
        <f aca="false">COUNTA('B9 Payment'!$A$2:$A$200)</f>
        <v>9</v>
      </c>
      <c r="C21" s="8" t="n">
        <f aca="false">COUNTIF('B9 Payment'!$L$2:$L$200,"Pass")</f>
        <v>0</v>
      </c>
      <c r="D21" s="8" t="n">
        <f aca="false">COUNTIF('B9 Payment'!$L$2:$L$200,"Fail")</f>
        <v>0</v>
      </c>
      <c r="E21" s="8" t="n">
        <f aca="false">COUNTIF('B9 Payment'!$L$2:$L$200,"Blocked")</f>
        <v>0</v>
      </c>
      <c r="F21" s="8" t="n">
        <f aca="false">COUNTIF('B9 Payment'!$L$2:$L$200,"Not Run")</f>
        <v>9</v>
      </c>
      <c r="G21" s="9" t="n">
        <f aca="false">IF(B21=0,0,C21/B21)</f>
        <v>0</v>
      </c>
    </row>
    <row r="22" customFormat="false" ht="15" hidden="false" customHeight="false" outlineLevel="0" collapsed="false">
      <c r="A22" s="7" t="s">
        <v>25</v>
      </c>
      <c r="B22" s="8" t="n">
        <f aca="false">COUNTA('B10 Order Tracking'!$A$2:$A$200)</f>
        <v>7</v>
      </c>
      <c r="C22" s="8" t="n">
        <f aca="false">COUNTIF('B10 Order Tracking'!$L$2:$L$200,"Pass")</f>
        <v>0</v>
      </c>
      <c r="D22" s="8" t="n">
        <f aca="false">COUNTIF('B10 Order Tracking'!$L$2:$L$200,"Fail")</f>
        <v>0</v>
      </c>
      <c r="E22" s="8" t="n">
        <f aca="false">COUNTIF('B10 Order Tracking'!$L$2:$L$200,"Blocked")</f>
        <v>0</v>
      </c>
      <c r="F22" s="8" t="n">
        <f aca="false">COUNTIF('B10 Order Tracking'!$L$2:$L$200,"Not Run")</f>
        <v>7</v>
      </c>
      <c r="G22" s="9" t="n">
        <f aca="false">IF(B22=0,0,C22/B22)</f>
        <v>0</v>
      </c>
    </row>
    <row r="23" customFormat="false" ht="15" hidden="false" customHeight="false" outlineLevel="0" collapsed="false">
      <c r="A23" s="7" t="s">
        <v>26</v>
      </c>
      <c r="B23" s="8" t="n">
        <f aca="false">COUNTA('B11 Cancellation'!$A$2:$A$200)</f>
        <v>6</v>
      </c>
      <c r="C23" s="8" t="n">
        <f aca="false">COUNTIF('B11 Cancellation'!$L$2:$L$200,"Pass")</f>
        <v>0</v>
      </c>
      <c r="D23" s="8" t="n">
        <f aca="false">COUNTIF('B11 Cancellation'!$L$2:$L$200,"Fail")</f>
        <v>0</v>
      </c>
      <c r="E23" s="8" t="n">
        <f aca="false">COUNTIF('B11 Cancellation'!$L$2:$L$200,"Blocked")</f>
        <v>0</v>
      </c>
      <c r="F23" s="8" t="n">
        <f aca="false">COUNTIF('B11 Cancellation'!$L$2:$L$200,"Not Run")</f>
        <v>6</v>
      </c>
      <c r="G23" s="9" t="n">
        <f aca="false">IF(B23=0,0,C23/B23)</f>
        <v>0</v>
      </c>
    </row>
    <row r="24" customFormat="false" ht="15" hidden="false" customHeight="false" outlineLevel="0" collapsed="false">
      <c r="A24" s="7" t="s">
        <v>27</v>
      </c>
      <c r="B24" s="8" t="n">
        <f aca="false">COUNTA('B12 Return &amp; Refund'!$A$2:$A$200)</f>
        <v>6</v>
      </c>
      <c r="C24" s="8" t="n">
        <f aca="false">COUNTIF('B12 Return &amp; Refund'!$L$2:$L$200,"Pass")</f>
        <v>0</v>
      </c>
      <c r="D24" s="8" t="n">
        <f aca="false">COUNTIF('B12 Return &amp; Refund'!$L$2:$L$200,"Fail")</f>
        <v>0</v>
      </c>
      <c r="E24" s="8" t="n">
        <f aca="false">COUNTIF('B12 Return &amp; Refund'!$L$2:$L$200,"Blocked")</f>
        <v>0</v>
      </c>
      <c r="F24" s="8" t="n">
        <f aca="false">COUNTIF('B12 Return &amp; Refund'!$L$2:$L$200,"Not Run")</f>
        <v>6</v>
      </c>
      <c r="G24" s="9" t="n">
        <f aca="false">IF(B24=0,0,C24/B24)</f>
        <v>0</v>
      </c>
    </row>
    <row r="25" customFormat="false" ht="15" hidden="false" customHeight="false" outlineLevel="0" collapsed="false">
      <c r="A25" s="7" t="s">
        <v>28</v>
      </c>
      <c r="B25" s="8" t="n">
        <f aca="false">COUNTA('B13 Ratings &amp; Reviews'!$A$2:$A$200)</f>
        <v>7</v>
      </c>
      <c r="C25" s="8" t="n">
        <f aca="false">COUNTIF('B13 Ratings &amp; Reviews'!$L$2:$L$200,"Pass")</f>
        <v>0</v>
      </c>
      <c r="D25" s="8" t="n">
        <f aca="false">COUNTIF('B13 Ratings &amp; Reviews'!$L$2:$L$200,"Fail")</f>
        <v>0</v>
      </c>
      <c r="E25" s="8" t="n">
        <f aca="false">COUNTIF('B13 Ratings &amp; Reviews'!$L$2:$L$200,"Blocked")</f>
        <v>0</v>
      </c>
      <c r="F25" s="8" t="n">
        <f aca="false">COUNTIF('B13 Ratings &amp; Reviews'!$L$2:$L$200,"Not Run")</f>
        <v>7</v>
      </c>
      <c r="G25" s="9" t="n">
        <f aca="false">IF(B25=0,0,C25/B25)</f>
        <v>0</v>
      </c>
    </row>
    <row r="26" customFormat="false" ht="15" hidden="false" customHeight="false" outlineLevel="0" collapsed="false">
      <c r="A26" s="7" t="s">
        <v>29</v>
      </c>
      <c r="B26" s="8" t="n">
        <f aca="false">COUNTA('B14 Chat &amp; Notifs'!$A$2:$A$200)</f>
        <v>8</v>
      </c>
      <c r="C26" s="8" t="n">
        <f aca="false">COUNTIF('B14 Chat &amp; Notifs'!$L$2:$L$200,"Pass")</f>
        <v>0</v>
      </c>
      <c r="D26" s="8" t="n">
        <f aca="false">COUNTIF('B14 Chat &amp; Notifs'!$L$2:$L$200,"Fail")</f>
        <v>0</v>
      </c>
      <c r="E26" s="8" t="n">
        <f aca="false">COUNTIF('B14 Chat &amp; Notifs'!$L$2:$L$200,"Blocked")</f>
        <v>0</v>
      </c>
      <c r="F26" s="8" t="n">
        <f aca="false">COUNTIF('B14 Chat &amp; Notifs'!$L$2:$L$200,"Not Run")</f>
        <v>8</v>
      </c>
      <c r="G26" s="9" t="n">
        <f aca="false">IF(B26=0,0,C26/B26)</f>
        <v>0</v>
      </c>
    </row>
    <row r="27" customFormat="false" ht="15" hidden="false" customHeight="false" outlineLevel="0" collapsed="false">
      <c r="A27" s="4" t="s">
        <v>30</v>
      </c>
      <c r="B27" s="4" t="n">
        <f aca="false">SUM(B13:B26)</f>
        <v>131</v>
      </c>
      <c r="C27" s="4" t="n">
        <f aca="false">SUM(C13:C26)</f>
        <v>0</v>
      </c>
      <c r="D27" s="4" t="n">
        <f aca="false">SUM(D13:D26)</f>
        <v>0</v>
      </c>
      <c r="E27" s="4" t="n">
        <f aca="false">SUM(E13:E26)</f>
        <v>0</v>
      </c>
      <c r="F27" s="4" t="n">
        <f aca="false">SUM(F13:F26)</f>
        <v>131</v>
      </c>
      <c r="G27" s="10" t="n">
        <f aca="false">IF(B27=0,0,C27/B27)</f>
        <v>0</v>
      </c>
    </row>
    <row r="29" customFormat="false" ht="15" hidden="false" customHeight="false" outlineLevel="0" collapsed="false">
      <c r="A29" s="3" t="s">
        <v>31</v>
      </c>
    </row>
    <row r="30" customFormat="false" ht="16.5" hidden="false" customHeight="true" outlineLevel="0" collapsed="false">
      <c r="A30" s="11" t="s">
        <v>32</v>
      </c>
      <c r="B30" s="11"/>
      <c r="C30" s="11"/>
      <c r="D30" s="11"/>
      <c r="E30" s="11"/>
      <c r="F30" s="11"/>
      <c r="G30" s="11"/>
    </row>
    <row r="31" customFormat="false" ht="29.25" hidden="false" customHeight="true" outlineLevel="0" collapsed="false">
      <c r="A31" s="11" t="s">
        <v>33</v>
      </c>
      <c r="B31" s="11"/>
      <c r="C31" s="11"/>
      <c r="D31" s="11"/>
      <c r="E31" s="11"/>
      <c r="F31" s="11"/>
      <c r="G31" s="11"/>
    </row>
    <row r="32" customFormat="false" ht="29.25" hidden="false" customHeight="true" outlineLevel="0" collapsed="false">
      <c r="A32" s="11" t="s">
        <v>34</v>
      </c>
      <c r="B32" s="11"/>
      <c r="C32" s="11"/>
      <c r="D32" s="11"/>
      <c r="E32" s="11"/>
      <c r="F32" s="11"/>
      <c r="G32" s="11"/>
    </row>
    <row r="33" customFormat="false" ht="29.25" hidden="false" customHeight="true" outlineLevel="0" collapsed="false">
      <c r="A33" s="11" t="s">
        <v>35</v>
      </c>
      <c r="B33" s="11"/>
      <c r="C33" s="11"/>
      <c r="D33" s="11"/>
      <c r="E33" s="11"/>
      <c r="F33" s="11"/>
      <c r="G33" s="11"/>
    </row>
    <row r="34" customFormat="false" ht="29.25" hidden="false" customHeight="true" outlineLevel="0" collapsed="false">
      <c r="A34" s="11" t="s">
        <v>36</v>
      </c>
      <c r="B34" s="11"/>
      <c r="C34" s="11"/>
      <c r="D34" s="11"/>
      <c r="E34" s="11"/>
      <c r="F34" s="11"/>
      <c r="G34" s="11"/>
    </row>
    <row r="35" customFormat="false" ht="29.25" hidden="false" customHeight="true" outlineLevel="0" collapsed="false">
      <c r="A35" s="11" t="s">
        <v>37</v>
      </c>
      <c r="B35" s="11"/>
      <c r="C35" s="11"/>
      <c r="D35" s="11"/>
      <c r="E35" s="11"/>
      <c r="F35" s="11"/>
      <c r="G35" s="11"/>
    </row>
    <row r="36" customFormat="false" ht="29.25" hidden="false" customHeight="true" outlineLevel="0" collapsed="false">
      <c r="A36" s="11" t="s">
        <v>38</v>
      </c>
      <c r="B36" s="11"/>
      <c r="C36" s="11"/>
      <c r="D36" s="11"/>
      <c r="E36" s="11"/>
      <c r="F36" s="11"/>
      <c r="G36" s="11"/>
    </row>
    <row r="37" customFormat="false" ht="16.5" hidden="false" customHeight="true" outlineLevel="0" collapsed="false">
      <c r="A37" s="11" t="s">
        <v>39</v>
      </c>
      <c r="B37" s="11"/>
      <c r="C37" s="11"/>
      <c r="D37" s="11"/>
      <c r="E37" s="11"/>
      <c r="F37" s="11"/>
      <c r="G37" s="11"/>
    </row>
    <row r="38" customFormat="false" ht="16.5" hidden="false" customHeight="true" outlineLevel="0" collapsed="false">
      <c r="A38" s="11" t="s">
        <v>40</v>
      </c>
      <c r="B38" s="11"/>
      <c r="C38" s="11"/>
      <c r="D38" s="11"/>
      <c r="E38" s="11"/>
      <c r="F38" s="11"/>
      <c r="G38" s="11"/>
    </row>
    <row r="39" customFormat="false" ht="29.25" hidden="false" customHeight="true" outlineLevel="0" collapsed="false">
      <c r="A39" s="11" t="s">
        <v>41</v>
      </c>
      <c r="B39" s="11"/>
      <c r="C39" s="11"/>
      <c r="D39" s="11"/>
      <c r="E39" s="11"/>
      <c r="F39" s="11"/>
      <c r="G39" s="11"/>
    </row>
    <row r="40" customFormat="false" ht="16.5" hidden="false" customHeight="true" outlineLevel="0" collapsed="false">
      <c r="A40" s="11" t="s">
        <v>42</v>
      </c>
      <c r="B40" s="11"/>
      <c r="C40" s="11"/>
      <c r="D40" s="11"/>
      <c r="E40" s="11"/>
      <c r="F40" s="11"/>
      <c r="G40" s="11"/>
    </row>
    <row r="42" customFormat="false" ht="15" hidden="false" customHeight="false" outlineLevel="0" collapsed="false">
      <c r="A42" s="3" t="s">
        <v>43</v>
      </c>
    </row>
    <row r="43" customFormat="false" ht="15" hidden="false" customHeight="true" outlineLevel="0" collapsed="false">
      <c r="A43" s="4" t="s">
        <v>44</v>
      </c>
      <c r="B43" s="12" t="s">
        <v>45</v>
      </c>
      <c r="C43" s="12"/>
      <c r="D43" s="12"/>
      <c r="E43" s="12"/>
      <c r="F43" s="12"/>
      <c r="G43" s="12"/>
    </row>
    <row r="44" customFormat="false" ht="15" hidden="false" customHeight="true" outlineLevel="0" collapsed="false">
      <c r="A44" s="4" t="s">
        <v>46</v>
      </c>
      <c r="B44" s="12" t="s">
        <v>47</v>
      </c>
      <c r="C44" s="12"/>
      <c r="D44" s="12"/>
      <c r="E44" s="12"/>
      <c r="F44" s="12"/>
      <c r="G44" s="12"/>
    </row>
    <row r="45" customFormat="false" ht="15" hidden="false" customHeight="true" outlineLevel="0" collapsed="false">
      <c r="A45" s="4" t="s">
        <v>48</v>
      </c>
      <c r="B45" s="12" t="s">
        <v>49</v>
      </c>
      <c r="C45" s="12"/>
      <c r="D45" s="12"/>
      <c r="E45" s="12"/>
      <c r="F45" s="12"/>
      <c r="G45" s="12"/>
    </row>
    <row r="46" customFormat="false" ht="15" hidden="false" customHeight="true" outlineLevel="0" collapsed="false">
      <c r="A46" s="4" t="s">
        <v>50</v>
      </c>
      <c r="B46" s="12" t="s">
        <v>51</v>
      </c>
      <c r="C46" s="12"/>
      <c r="D46" s="12"/>
      <c r="E46" s="12"/>
      <c r="F46" s="12"/>
      <c r="G46" s="12"/>
    </row>
    <row r="47" customFormat="false" ht="15" hidden="false" customHeight="true" outlineLevel="0" collapsed="false">
      <c r="A47" s="4" t="s">
        <v>52</v>
      </c>
      <c r="B47" s="12" t="s">
        <v>53</v>
      </c>
      <c r="C47" s="12"/>
      <c r="D47" s="12"/>
      <c r="E47" s="12"/>
      <c r="F47" s="12"/>
      <c r="G47" s="12"/>
    </row>
    <row r="48" customFormat="false" ht="23.85" hidden="false" customHeight="true" outlineLevel="0" collapsed="false">
      <c r="A48" s="4" t="s">
        <v>54</v>
      </c>
      <c r="B48" s="12" t="s">
        <v>55</v>
      </c>
      <c r="C48" s="12"/>
      <c r="D48" s="12"/>
      <c r="E48" s="12"/>
      <c r="F48" s="12"/>
      <c r="G48" s="12"/>
    </row>
    <row r="50" customFormat="false" ht="15" hidden="false" customHeight="false" outlineLevel="0" collapsed="false">
      <c r="A50" s="3" t="s">
        <v>56</v>
      </c>
    </row>
    <row r="51" customFormat="false" ht="30" hidden="false" customHeight="true" outlineLevel="0" collapsed="false">
      <c r="A51" s="11" t="s">
        <v>57</v>
      </c>
      <c r="B51" s="11"/>
      <c r="C51" s="11"/>
      <c r="D51" s="11"/>
      <c r="E51" s="11"/>
      <c r="F51" s="11"/>
      <c r="G51" s="11"/>
    </row>
    <row r="52" customFormat="false" ht="30" hidden="false" customHeight="true" outlineLevel="0" collapsed="false">
      <c r="A52" s="11" t="s">
        <v>58</v>
      </c>
      <c r="B52" s="11"/>
      <c r="C52" s="11"/>
      <c r="D52" s="11"/>
      <c r="E52" s="11"/>
      <c r="F52" s="11"/>
      <c r="G52" s="11"/>
    </row>
    <row r="53" customFormat="false" ht="42.75" hidden="false" customHeight="true" outlineLevel="0" collapsed="false">
      <c r="A53" s="11" t="s">
        <v>59</v>
      </c>
      <c r="B53" s="11"/>
      <c r="C53" s="11"/>
      <c r="D53" s="11"/>
      <c r="E53" s="11"/>
      <c r="F53" s="11"/>
      <c r="G53" s="11"/>
    </row>
    <row r="54" customFormat="false" ht="42.75" hidden="false" customHeight="true" outlineLevel="0" collapsed="false">
      <c r="A54" s="11" t="s">
        <v>60</v>
      </c>
      <c r="B54" s="11"/>
      <c r="C54" s="11"/>
      <c r="D54" s="11"/>
      <c r="E54" s="11"/>
      <c r="F54" s="11"/>
      <c r="G54" s="11"/>
    </row>
    <row r="55" customFormat="false" ht="30" hidden="false" customHeight="true" outlineLevel="0" collapsed="false">
      <c r="A55" s="11" t="s">
        <v>61</v>
      </c>
      <c r="B55" s="11"/>
      <c r="C55" s="11"/>
      <c r="D55" s="11"/>
      <c r="E55" s="11"/>
      <c r="F55" s="11"/>
      <c r="G55" s="11"/>
    </row>
    <row r="56" customFormat="false" ht="30" hidden="false" customHeight="true" outlineLevel="0" collapsed="false">
      <c r="A56" s="11" t="s">
        <v>62</v>
      </c>
      <c r="B56" s="11"/>
      <c r="C56" s="11"/>
      <c r="D56" s="11"/>
      <c r="E56" s="11"/>
      <c r="F56" s="11"/>
      <c r="G56" s="11"/>
    </row>
  </sheetData>
  <mergeCells count="23">
    <mergeCell ref="A30:G30"/>
    <mergeCell ref="A31:G31"/>
    <mergeCell ref="A32:G32"/>
    <mergeCell ref="A33:G33"/>
    <mergeCell ref="A34:G34"/>
    <mergeCell ref="A35:G35"/>
    <mergeCell ref="A36:G36"/>
    <mergeCell ref="A37:G37"/>
    <mergeCell ref="A38:G38"/>
    <mergeCell ref="A39:G39"/>
    <mergeCell ref="A40:G40"/>
    <mergeCell ref="B43:G43"/>
    <mergeCell ref="B44:G44"/>
    <mergeCell ref="B45:G45"/>
    <mergeCell ref="B46:G46"/>
    <mergeCell ref="B47:G47"/>
    <mergeCell ref="B48:G48"/>
    <mergeCell ref="A51:G51"/>
    <mergeCell ref="A52:G52"/>
    <mergeCell ref="A53:G53"/>
    <mergeCell ref="A54:G54"/>
    <mergeCell ref="A55:G55"/>
    <mergeCell ref="A56:G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95"/>
    <col collapsed="false" customWidth="true" hidden="false" outlineLevel="0" max="4" min="4" style="0" width="38"/>
  </cols>
  <sheetData>
    <row r="1" customFormat="false" ht="17.35" hidden="false" customHeight="false" outlineLevel="0" collapsed="false">
      <c r="A1" s="1" t="s">
        <v>63</v>
      </c>
    </row>
    <row r="2" customFormat="false" ht="42" hidden="false" customHeight="true" outlineLevel="0" collapsed="false">
      <c r="A2" s="11" t="s">
        <v>64</v>
      </c>
      <c r="B2" s="11"/>
      <c r="C2" s="11"/>
      <c r="D2" s="11"/>
    </row>
    <row r="4" customFormat="false" ht="15" hidden="false" customHeight="false" outlineLevel="0" collapsed="false">
      <c r="A4" s="6" t="s">
        <v>65</v>
      </c>
      <c r="B4" s="6" t="s">
        <v>66</v>
      </c>
      <c r="C4" s="6" t="s">
        <v>67</v>
      </c>
      <c r="D4" s="6" t="s">
        <v>68</v>
      </c>
    </row>
    <row r="5" customFormat="false" ht="54.75" hidden="false" customHeight="true" outlineLevel="0" collapsed="false">
      <c r="A5" s="7" t="s">
        <v>69</v>
      </c>
      <c r="B5" s="7" t="s">
        <v>70</v>
      </c>
      <c r="C5" s="8" t="s">
        <v>71</v>
      </c>
      <c r="D5" s="5"/>
    </row>
    <row r="6" customFormat="false" ht="29.25" hidden="false" customHeight="true" outlineLevel="0" collapsed="false">
      <c r="A6" s="7" t="s">
        <v>72</v>
      </c>
      <c r="B6" s="7" t="s">
        <v>73</v>
      </c>
      <c r="C6" s="8" t="s">
        <v>74</v>
      </c>
      <c r="D6" s="5"/>
    </row>
    <row r="7" customFormat="false" ht="42" hidden="false" customHeight="true" outlineLevel="0" collapsed="false">
      <c r="A7" s="7" t="s">
        <v>75</v>
      </c>
      <c r="B7" s="7" t="s">
        <v>76</v>
      </c>
      <c r="C7" s="8" t="s">
        <v>77</v>
      </c>
      <c r="D7" s="5"/>
    </row>
    <row r="8" customFormat="false" ht="29.25" hidden="false" customHeight="true" outlineLevel="0" collapsed="false">
      <c r="A8" s="7" t="s">
        <v>78</v>
      </c>
      <c r="B8" s="7" t="s">
        <v>79</v>
      </c>
      <c r="C8" s="8" t="s">
        <v>80</v>
      </c>
      <c r="D8" s="5"/>
    </row>
    <row r="9" customFormat="false" ht="54.75" hidden="false" customHeight="true" outlineLevel="0" collapsed="false">
      <c r="A9" s="7" t="s">
        <v>81</v>
      </c>
      <c r="B9" s="7" t="s">
        <v>82</v>
      </c>
      <c r="C9" s="8" t="s">
        <v>83</v>
      </c>
      <c r="D9" s="5"/>
    </row>
    <row r="10" customFormat="false" ht="42" hidden="false" customHeight="true" outlineLevel="0" collapsed="false">
      <c r="A10" s="7" t="s">
        <v>84</v>
      </c>
      <c r="B10" s="7" t="s">
        <v>85</v>
      </c>
      <c r="C10" s="8" t="s">
        <v>86</v>
      </c>
      <c r="D10" s="5"/>
    </row>
    <row r="11" customFormat="false" ht="29.25" hidden="false" customHeight="true" outlineLevel="0" collapsed="false">
      <c r="A11" s="7" t="s">
        <v>87</v>
      </c>
      <c r="B11" s="7" t="s">
        <v>88</v>
      </c>
      <c r="C11" s="8" t="s">
        <v>89</v>
      </c>
      <c r="D11" s="5"/>
    </row>
    <row r="12" customFormat="false" ht="80.25" hidden="false" customHeight="true" outlineLevel="0" collapsed="false">
      <c r="A12" s="7" t="s">
        <v>90</v>
      </c>
      <c r="B12" s="7" t="s">
        <v>91</v>
      </c>
      <c r="C12" s="8" t="s">
        <v>92</v>
      </c>
      <c r="D12" s="5"/>
    </row>
    <row r="13" customFormat="false" ht="29.25" hidden="false" customHeight="true" outlineLevel="0" collapsed="false">
      <c r="A13" s="7" t="s">
        <v>93</v>
      </c>
      <c r="B13" s="7" t="s">
        <v>94</v>
      </c>
      <c r="C13" s="8" t="s">
        <v>95</v>
      </c>
      <c r="D13" s="5"/>
    </row>
    <row r="14" customFormat="false" ht="54.75" hidden="false" customHeight="true" outlineLevel="0" collapsed="false">
      <c r="A14" s="7" t="s">
        <v>96</v>
      </c>
      <c r="B14" s="7" t="s">
        <v>97</v>
      </c>
      <c r="C14" s="8" t="s">
        <v>98</v>
      </c>
      <c r="D14" s="5"/>
    </row>
    <row r="15" customFormat="false" ht="42" hidden="false" customHeight="true" outlineLevel="0" collapsed="false">
      <c r="A15" s="7" t="s">
        <v>99</v>
      </c>
      <c r="B15" s="7" t="s">
        <v>100</v>
      </c>
      <c r="C15" s="8" t="s">
        <v>101</v>
      </c>
      <c r="D15" s="5"/>
    </row>
    <row r="16" customFormat="false" ht="54.75" hidden="false" customHeight="true" outlineLevel="0" collapsed="false">
      <c r="A16" s="7" t="s">
        <v>102</v>
      </c>
      <c r="B16" s="7" t="s">
        <v>103</v>
      </c>
      <c r="C16" s="8" t="s">
        <v>104</v>
      </c>
      <c r="D16" s="5"/>
    </row>
    <row r="17" customFormat="false" ht="42" hidden="false" customHeight="true" outlineLevel="0" collapsed="false">
      <c r="A17" s="7" t="s">
        <v>105</v>
      </c>
      <c r="B17" s="7" t="s">
        <v>106</v>
      </c>
      <c r="C17" s="8" t="s">
        <v>107</v>
      </c>
      <c r="D17" s="5"/>
    </row>
    <row r="18" customFormat="false" ht="42" hidden="false" customHeight="true" outlineLevel="0" collapsed="false">
      <c r="A18" s="7" t="s">
        <v>108</v>
      </c>
      <c r="B18" s="7" t="s">
        <v>109</v>
      </c>
      <c r="C18" s="8" t="s">
        <v>110</v>
      </c>
      <c r="D18" s="5"/>
    </row>
    <row r="19" customFormat="false" ht="42" hidden="false" customHeight="true" outlineLevel="0" collapsed="false">
      <c r="A19" s="7" t="s">
        <v>111</v>
      </c>
      <c r="B19" s="7" t="s">
        <v>112</v>
      </c>
      <c r="C19" s="8" t="s">
        <v>113</v>
      </c>
      <c r="D19" s="5"/>
    </row>
    <row r="20" customFormat="false" ht="29.25" hidden="false" customHeight="true" outlineLevel="0" collapsed="false">
      <c r="A20" s="7" t="s">
        <v>114</v>
      </c>
      <c r="B20" s="7" t="s">
        <v>115</v>
      </c>
      <c r="C20" s="8" t="s">
        <v>116</v>
      </c>
      <c r="D20" s="5"/>
    </row>
    <row r="21" customFormat="false" ht="29.25" hidden="false" customHeight="true" outlineLevel="0" collapsed="false">
      <c r="A21" s="7" t="s">
        <v>117</v>
      </c>
      <c r="B21" s="7" t="s">
        <v>118</v>
      </c>
      <c r="C21" s="8" t="s">
        <v>119</v>
      </c>
      <c r="D21" s="5"/>
    </row>
    <row r="22" customFormat="false" ht="42" hidden="false" customHeight="true" outlineLevel="0" collapsed="false">
      <c r="A22" s="7" t="s">
        <v>120</v>
      </c>
      <c r="B22" s="7" t="s">
        <v>121</v>
      </c>
      <c r="C22" s="8" t="s">
        <v>122</v>
      </c>
      <c r="D22" s="5"/>
    </row>
    <row r="23" customFormat="false" ht="54.75" hidden="false" customHeight="true" outlineLevel="0" collapsed="false">
      <c r="A23" s="7" t="s">
        <v>123</v>
      </c>
      <c r="B23" s="7" t="s">
        <v>124</v>
      </c>
      <c r="C23" s="8" t="s">
        <v>125</v>
      </c>
      <c r="D23" s="5"/>
    </row>
    <row r="24" customFormat="false" ht="42" hidden="false" customHeight="true" outlineLevel="0" collapsed="false">
      <c r="A24" s="7" t="s">
        <v>126</v>
      </c>
      <c r="B24" s="7" t="s">
        <v>127</v>
      </c>
      <c r="C24" s="8" t="s">
        <v>128</v>
      </c>
      <c r="D24" s="5"/>
    </row>
    <row r="25" customFormat="false" ht="29.25" hidden="false" customHeight="true" outlineLevel="0" collapsed="false">
      <c r="A25" s="7" t="s">
        <v>129</v>
      </c>
      <c r="B25" s="7" t="s">
        <v>130</v>
      </c>
      <c r="C25" s="8" t="s">
        <v>131</v>
      </c>
      <c r="D25" s="5"/>
    </row>
    <row r="26" customFormat="false" ht="42" hidden="false" customHeight="true" outlineLevel="0" collapsed="false">
      <c r="A26" s="7" t="s">
        <v>132</v>
      </c>
      <c r="B26" s="7" t="s">
        <v>133</v>
      </c>
      <c r="C26" s="8" t="s">
        <v>134</v>
      </c>
      <c r="D26" s="5"/>
    </row>
    <row r="27" customFormat="false" ht="29.25" hidden="false" customHeight="true" outlineLevel="0" collapsed="false">
      <c r="A27" s="7" t="s">
        <v>135</v>
      </c>
      <c r="B27" s="7" t="s">
        <v>136</v>
      </c>
      <c r="C27" s="8" t="s">
        <v>137</v>
      </c>
      <c r="D27" s="5"/>
    </row>
    <row r="28" customFormat="false" ht="42" hidden="false" customHeight="true" outlineLevel="0" collapsed="false">
      <c r="A28" s="7" t="s">
        <v>138</v>
      </c>
      <c r="B28" s="7" t="s">
        <v>139</v>
      </c>
      <c r="C28" s="8" t="s">
        <v>140</v>
      </c>
      <c r="D28" s="5"/>
    </row>
    <row r="29" customFormat="false" ht="54.75" hidden="false" customHeight="true" outlineLevel="0" collapsed="false">
      <c r="A29" s="7" t="s">
        <v>141</v>
      </c>
      <c r="B29" s="7" t="s">
        <v>142</v>
      </c>
      <c r="C29" s="8" t="s">
        <v>143</v>
      </c>
      <c r="D29" s="5"/>
    </row>
    <row r="30" customFormat="false" ht="29.25" hidden="false" customHeight="true" outlineLevel="0" collapsed="false">
      <c r="A30" s="7" t="s">
        <v>144</v>
      </c>
      <c r="B30" s="7" t="s">
        <v>145</v>
      </c>
      <c r="C30" s="8" t="s">
        <v>146</v>
      </c>
      <c r="D30" s="5"/>
    </row>
    <row r="31" customFormat="false" ht="42" hidden="false" customHeight="true" outlineLevel="0" collapsed="false">
      <c r="A31" s="7" t="s">
        <v>147</v>
      </c>
      <c r="B31" s="7" t="s">
        <v>148</v>
      </c>
      <c r="C31" s="8" t="s">
        <v>149</v>
      </c>
      <c r="D31" s="5"/>
    </row>
    <row r="32" customFormat="false" ht="42" hidden="false" customHeight="true" outlineLevel="0" collapsed="false">
      <c r="A32" s="7" t="s">
        <v>150</v>
      </c>
      <c r="B32" s="7" t="s">
        <v>151</v>
      </c>
      <c r="C32" s="8" t="s">
        <v>152</v>
      </c>
      <c r="D32" s="5"/>
    </row>
    <row r="33" customFormat="false" ht="29.25" hidden="false" customHeight="true" outlineLevel="0" collapsed="false">
      <c r="A33" s="7" t="s">
        <v>153</v>
      </c>
      <c r="B33" s="7" t="s">
        <v>154</v>
      </c>
      <c r="C33" s="8" t="s">
        <v>155</v>
      </c>
      <c r="D33" s="5"/>
    </row>
    <row r="34" customFormat="false" ht="42" hidden="false" customHeight="true" outlineLevel="0" collapsed="false">
      <c r="A34" s="7" t="s">
        <v>156</v>
      </c>
      <c r="B34" s="7" t="s">
        <v>157</v>
      </c>
      <c r="C34" s="8" t="s">
        <v>158</v>
      </c>
      <c r="D34" s="5"/>
    </row>
    <row r="35" customFormat="false" ht="54.75" hidden="false" customHeight="true" outlineLevel="0" collapsed="false">
      <c r="A35" s="7" t="s">
        <v>159</v>
      </c>
      <c r="B35" s="7" t="s">
        <v>160</v>
      </c>
      <c r="C35" s="8" t="s">
        <v>161</v>
      </c>
      <c r="D35" s="5"/>
    </row>
    <row r="36" customFormat="false" ht="42" hidden="false" customHeight="true" outlineLevel="0" collapsed="false">
      <c r="A36" s="7" t="s">
        <v>162</v>
      </c>
      <c r="B36" s="7" t="s">
        <v>163</v>
      </c>
      <c r="C36" s="8" t="s">
        <v>164</v>
      </c>
      <c r="D36" s="5"/>
    </row>
    <row r="37" customFormat="false" ht="29.25" hidden="false" customHeight="true" outlineLevel="0" collapsed="false">
      <c r="A37" s="7" t="s">
        <v>165</v>
      </c>
      <c r="B37" s="7" t="s">
        <v>166</v>
      </c>
      <c r="C37" s="8" t="s">
        <v>167</v>
      </c>
      <c r="D37" s="5"/>
    </row>
    <row r="38" customFormat="false" ht="54.75" hidden="false" customHeight="true" outlineLevel="0" collapsed="false">
      <c r="A38" s="7" t="s">
        <v>168</v>
      </c>
      <c r="B38" s="7" t="s">
        <v>169</v>
      </c>
      <c r="C38" s="8" t="s">
        <v>170</v>
      </c>
      <c r="D38" s="5"/>
    </row>
    <row r="39" customFormat="false" ht="42" hidden="false" customHeight="true" outlineLevel="0" collapsed="false">
      <c r="A39" s="7" t="s">
        <v>171</v>
      </c>
      <c r="B39" s="7" t="s">
        <v>172</v>
      </c>
      <c r="C39" s="8" t="s">
        <v>173</v>
      </c>
      <c r="D39" s="5"/>
    </row>
    <row r="40" customFormat="false" ht="29.25" hidden="false" customHeight="true" outlineLevel="0" collapsed="false">
      <c r="A40" s="7" t="s">
        <v>174</v>
      </c>
      <c r="B40" s="7" t="s">
        <v>175</v>
      </c>
      <c r="C40" s="8" t="s">
        <v>176</v>
      </c>
      <c r="D40" s="5"/>
    </row>
    <row r="41" customFormat="false" ht="42" hidden="false" customHeight="true" outlineLevel="0" collapsed="false">
      <c r="A41" s="7" t="s">
        <v>177</v>
      </c>
      <c r="B41" s="7" t="s">
        <v>178</v>
      </c>
      <c r="C41" s="8" t="s">
        <v>179</v>
      </c>
      <c r="D41" s="5"/>
    </row>
    <row r="42" customFormat="false" ht="93" hidden="false" customHeight="true" outlineLevel="0" collapsed="false">
      <c r="A42" s="7" t="s">
        <v>180</v>
      </c>
      <c r="B42" s="7" t="s">
        <v>181</v>
      </c>
      <c r="C42" s="8" t="s">
        <v>182</v>
      </c>
      <c r="D42" s="5"/>
    </row>
    <row r="43" customFormat="false" ht="118.5" hidden="false" customHeight="true" outlineLevel="0" collapsed="false">
      <c r="A43" s="7" t="s">
        <v>183</v>
      </c>
      <c r="B43" s="7" t="s">
        <v>184</v>
      </c>
      <c r="C43" s="8" t="s">
        <v>185</v>
      </c>
      <c r="D43" s="5"/>
    </row>
    <row r="44" customFormat="false" ht="67.5" hidden="false" customHeight="true" outlineLevel="0" collapsed="false">
      <c r="A44" s="7" t="s">
        <v>186</v>
      </c>
      <c r="B44" s="7" t="s">
        <v>187</v>
      </c>
      <c r="C44" s="8" t="s">
        <v>188</v>
      </c>
      <c r="D44" s="5"/>
    </row>
    <row r="45" customFormat="false" ht="80.25" hidden="false" customHeight="true" outlineLevel="0" collapsed="false">
      <c r="A45" s="7" t="s">
        <v>189</v>
      </c>
      <c r="B45" s="7" t="s">
        <v>190</v>
      </c>
      <c r="C45" s="8" t="s">
        <v>191</v>
      </c>
      <c r="D45" s="5"/>
    </row>
    <row r="46" customFormat="false" ht="42" hidden="false" customHeight="true" outlineLevel="0" collapsed="false">
      <c r="A46" s="7" t="s">
        <v>192</v>
      </c>
      <c r="B46" s="7" t="s">
        <v>193</v>
      </c>
      <c r="C46" s="8" t="s">
        <v>194</v>
      </c>
      <c r="D46" s="5"/>
    </row>
    <row r="47" customFormat="false" ht="42" hidden="false" customHeight="true" outlineLevel="0" collapsed="false">
      <c r="A47" s="7" t="s">
        <v>195</v>
      </c>
      <c r="B47" s="7" t="s">
        <v>196</v>
      </c>
      <c r="C47" s="8" t="s">
        <v>197</v>
      </c>
      <c r="D47" s="5"/>
    </row>
    <row r="48" customFormat="false" ht="42" hidden="false" customHeight="true" outlineLevel="0" collapsed="false">
      <c r="A48" s="7" t="s">
        <v>198</v>
      </c>
      <c r="B48" s="7" t="s">
        <v>199</v>
      </c>
      <c r="C48" s="8" t="s">
        <v>200</v>
      </c>
      <c r="D48" s="5"/>
    </row>
    <row r="49" customFormat="false" ht="42" hidden="false" customHeight="true" outlineLevel="0" collapsed="false">
      <c r="A49" s="7" t="s">
        <v>201</v>
      </c>
      <c r="B49" s="7" t="s">
        <v>202</v>
      </c>
      <c r="C49" s="8" t="s">
        <v>203</v>
      </c>
      <c r="D49" s="5"/>
    </row>
    <row r="50" customFormat="false" ht="54.75" hidden="false" customHeight="true" outlineLevel="0" collapsed="false">
      <c r="A50" s="7" t="s">
        <v>204</v>
      </c>
      <c r="B50" s="7" t="s">
        <v>205</v>
      </c>
      <c r="C50" s="8" t="s">
        <v>206</v>
      </c>
      <c r="D50" s="5"/>
    </row>
    <row r="51" customFormat="false" ht="42" hidden="false" customHeight="true" outlineLevel="0" collapsed="false">
      <c r="A51" s="7" t="s">
        <v>207</v>
      </c>
      <c r="B51" s="7" t="s">
        <v>208</v>
      </c>
      <c r="C51" s="8" t="s">
        <v>209</v>
      </c>
      <c r="D51" s="5"/>
    </row>
    <row r="52" customFormat="false" ht="42" hidden="false" customHeight="true" outlineLevel="0" collapsed="false">
      <c r="A52" s="7" t="s">
        <v>210</v>
      </c>
      <c r="B52" s="7" t="s">
        <v>211</v>
      </c>
      <c r="C52" s="8" t="s">
        <v>212</v>
      </c>
      <c r="D52" s="5"/>
    </row>
    <row r="53" customFormat="false" ht="29.25" hidden="false" customHeight="true" outlineLevel="0" collapsed="false">
      <c r="A53" s="7" t="s">
        <v>213</v>
      </c>
      <c r="B53" s="7" t="s">
        <v>214</v>
      </c>
      <c r="C53" s="8" t="s">
        <v>215</v>
      </c>
      <c r="D53" s="5"/>
    </row>
    <row r="54" customFormat="false" ht="42" hidden="false" customHeight="true" outlineLevel="0" collapsed="false">
      <c r="A54" s="7" t="s">
        <v>216</v>
      </c>
      <c r="B54" s="7" t="s">
        <v>217</v>
      </c>
      <c r="C54" s="8" t="s">
        <v>218</v>
      </c>
      <c r="D54" s="5"/>
    </row>
    <row r="55" customFormat="false" ht="42" hidden="false" customHeight="true" outlineLevel="0" collapsed="false">
      <c r="A55" s="7" t="s">
        <v>219</v>
      </c>
      <c r="B55" s="7" t="s">
        <v>220</v>
      </c>
      <c r="C55" s="8" t="s">
        <v>221</v>
      </c>
      <c r="D55" s="5"/>
    </row>
    <row r="56" customFormat="false" ht="80.25" hidden="false" customHeight="true" outlineLevel="0" collapsed="false">
      <c r="A56" s="7" t="s">
        <v>222</v>
      </c>
      <c r="B56" s="7" t="s">
        <v>223</v>
      </c>
      <c r="C56" s="8" t="s">
        <v>224</v>
      </c>
      <c r="D56" s="5"/>
    </row>
    <row r="57" customFormat="false" ht="42" hidden="false" customHeight="true" outlineLevel="0" collapsed="false">
      <c r="A57" s="7" t="s">
        <v>225</v>
      </c>
      <c r="B57" s="7" t="s">
        <v>226</v>
      </c>
      <c r="C57" s="8" t="s">
        <v>227</v>
      </c>
      <c r="D57" s="5"/>
    </row>
    <row r="58" customFormat="false" ht="42" hidden="false" customHeight="true" outlineLevel="0" collapsed="false">
      <c r="A58" s="7" t="s">
        <v>228</v>
      </c>
      <c r="B58" s="7" t="s">
        <v>229</v>
      </c>
      <c r="C58" s="8" t="s">
        <v>230</v>
      </c>
      <c r="D58" s="5"/>
    </row>
    <row r="59" customFormat="false" ht="42" hidden="false" customHeight="true" outlineLevel="0" collapsed="false">
      <c r="A59" s="7" t="s">
        <v>231</v>
      </c>
      <c r="B59" s="7" t="s">
        <v>232</v>
      </c>
      <c r="C59" s="8" t="s">
        <v>233</v>
      </c>
      <c r="D59" s="5"/>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4" min="3" style="0" width="40"/>
    <col collapsed="false" customWidth="true" hidden="false" outlineLevel="0" max="5" min="5" style="0" width="22"/>
    <col collapsed="false" customWidth="true" hidden="false" outlineLevel="0" max="6" min="6" style="0" width="44"/>
  </cols>
  <sheetData>
    <row r="1" customFormat="false" ht="17.35" hidden="false" customHeight="false" outlineLevel="0" collapsed="false">
      <c r="A1" s="1" t="s">
        <v>234</v>
      </c>
    </row>
    <row r="2" customFormat="false" ht="30" hidden="false" customHeight="true" outlineLevel="0" collapsed="false">
      <c r="A2" s="11" t="s">
        <v>235</v>
      </c>
      <c r="B2" s="11"/>
      <c r="C2" s="11"/>
      <c r="D2" s="11"/>
      <c r="E2" s="11"/>
      <c r="F2" s="11"/>
    </row>
    <row r="4" customFormat="false" ht="15" hidden="false" customHeight="false" outlineLevel="0" collapsed="false">
      <c r="A4" s="3" t="s">
        <v>236</v>
      </c>
    </row>
    <row r="5" customFormat="false" ht="15" hidden="false" customHeight="false" outlineLevel="0" collapsed="false">
      <c r="A5" s="6" t="s">
        <v>65</v>
      </c>
      <c r="B5" s="6" t="s">
        <v>237</v>
      </c>
      <c r="C5" s="6" t="s">
        <v>238</v>
      </c>
      <c r="D5" s="6" t="s">
        <v>239</v>
      </c>
      <c r="E5" s="6" t="s">
        <v>240</v>
      </c>
      <c r="F5" s="6" t="s">
        <v>241</v>
      </c>
    </row>
    <row r="6" customFormat="false" ht="16.5" hidden="false" customHeight="true" outlineLevel="0" collapsed="false">
      <c r="A6" s="4" t="s">
        <v>242</v>
      </c>
      <c r="B6" s="8" t="s">
        <v>243</v>
      </c>
      <c r="C6" s="8" t="s">
        <v>244</v>
      </c>
      <c r="D6" s="8" t="s">
        <v>245</v>
      </c>
      <c r="E6" s="8" t="s">
        <v>246</v>
      </c>
      <c r="F6" s="8" t="s">
        <v>247</v>
      </c>
    </row>
    <row r="7" customFormat="false" ht="29.25" hidden="false" customHeight="true" outlineLevel="0" collapsed="false">
      <c r="A7" s="4" t="s">
        <v>248</v>
      </c>
      <c r="B7" s="8" t="s">
        <v>243</v>
      </c>
      <c r="C7" s="8" t="s">
        <v>249</v>
      </c>
      <c r="D7" s="8" t="s">
        <v>250</v>
      </c>
      <c r="E7" s="8" t="s">
        <v>251</v>
      </c>
      <c r="F7" s="8" t="s">
        <v>252</v>
      </c>
    </row>
    <row r="8" customFormat="false" ht="29.25" hidden="false" customHeight="true" outlineLevel="0" collapsed="false">
      <c r="A8" s="4" t="s">
        <v>253</v>
      </c>
      <c r="B8" s="8" t="s">
        <v>254</v>
      </c>
      <c r="C8" s="8" t="s">
        <v>255</v>
      </c>
      <c r="D8" s="8" t="s">
        <v>256</v>
      </c>
      <c r="E8" s="8" t="s">
        <v>257</v>
      </c>
      <c r="F8" s="8" t="s">
        <v>258</v>
      </c>
    </row>
    <row r="9" customFormat="false" ht="16.5" hidden="false" customHeight="true" outlineLevel="0" collapsed="false">
      <c r="A9" s="4" t="s">
        <v>259</v>
      </c>
      <c r="B9" s="8" t="s">
        <v>254</v>
      </c>
      <c r="C9" s="8" t="s">
        <v>260</v>
      </c>
      <c r="D9" s="8" t="s">
        <v>261</v>
      </c>
      <c r="E9" s="8" t="s">
        <v>262</v>
      </c>
      <c r="F9" s="8" t="s">
        <v>263</v>
      </c>
    </row>
    <row r="10" customFormat="false" ht="29.25" hidden="false" customHeight="true" outlineLevel="0" collapsed="false">
      <c r="A10" s="4" t="s">
        <v>264</v>
      </c>
      <c r="B10" s="8" t="s">
        <v>254</v>
      </c>
      <c r="C10" s="8" t="s">
        <v>265</v>
      </c>
      <c r="D10" s="8" t="s">
        <v>266</v>
      </c>
      <c r="E10" s="8" t="s">
        <v>257</v>
      </c>
      <c r="F10" s="8" t="s">
        <v>267</v>
      </c>
    </row>
    <row r="11" customFormat="false" ht="29.25" hidden="false" customHeight="true" outlineLevel="0" collapsed="false">
      <c r="A11" s="4" t="s">
        <v>268</v>
      </c>
      <c r="B11" s="8" t="s">
        <v>269</v>
      </c>
      <c r="C11" s="8" t="s">
        <v>270</v>
      </c>
      <c r="D11" s="8" t="s">
        <v>271</v>
      </c>
      <c r="E11" s="8" t="s">
        <v>272</v>
      </c>
      <c r="F11" s="8" t="s">
        <v>273</v>
      </c>
    </row>
    <row r="12" customFormat="false" ht="29.25" hidden="false" customHeight="true" outlineLevel="0" collapsed="false">
      <c r="A12" s="4" t="s">
        <v>274</v>
      </c>
      <c r="B12" s="8" t="s">
        <v>269</v>
      </c>
      <c r="C12" s="8" t="s">
        <v>275</v>
      </c>
      <c r="D12" s="8" t="s">
        <v>276</v>
      </c>
      <c r="E12" s="8" t="s">
        <v>277</v>
      </c>
      <c r="F12" s="8" t="s">
        <v>278</v>
      </c>
    </row>
    <row r="13" customFormat="false" ht="16.5" hidden="false" customHeight="true" outlineLevel="0" collapsed="false">
      <c r="A13" s="4" t="s">
        <v>279</v>
      </c>
      <c r="B13" s="8" t="s">
        <v>280</v>
      </c>
      <c r="C13" s="8" t="s">
        <v>281</v>
      </c>
      <c r="D13" s="8" t="s">
        <v>282</v>
      </c>
      <c r="E13" s="8" t="s">
        <v>283</v>
      </c>
      <c r="F13" s="8" t="s">
        <v>284</v>
      </c>
    </row>
    <row r="14" customFormat="false" ht="29.25" hidden="false" customHeight="true" outlineLevel="0" collapsed="false">
      <c r="A14" s="4" t="s">
        <v>285</v>
      </c>
      <c r="B14" s="8" t="s">
        <v>280</v>
      </c>
      <c r="C14" s="8" t="s">
        <v>286</v>
      </c>
      <c r="D14" s="8" t="s">
        <v>287</v>
      </c>
      <c r="E14" s="8" t="s">
        <v>288</v>
      </c>
      <c r="F14" s="8" t="s">
        <v>289</v>
      </c>
    </row>
    <row r="15" customFormat="false" ht="29.25" hidden="false" customHeight="true" outlineLevel="0" collapsed="false">
      <c r="A15" s="4" t="s">
        <v>290</v>
      </c>
      <c r="B15" s="8" t="s">
        <v>280</v>
      </c>
      <c r="C15" s="8" t="s">
        <v>291</v>
      </c>
      <c r="D15" s="8" t="s">
        <v>292</v>
      </c>
      <c r="E15" s="8" t="s">
        <v>283</v>
      </c>
      <c r="F15" s="8" t="s">
        <v>293</v>
      </c>
    </row>
    <row r="16" customFormat="false" ht="29.25" hidden="false" customHeight="true" outlineLevel="0" collapsed="false">
      <c r="A16" s="4" t="s">
        <v>294</v>
      </c>
      <c r="B16" s="8" t="s">
        <v>294</v>
      </c>
      <c r="C16" s="8" t="s">
        <v>295</v>
      </c>
      <c r="D16" s="8" t="s">
        <v>296</v>
      </c>
      <c r="E16" s="8"/>
      <c r="F16" s="8" t="s">
        <v>297</v>
      </c>
    </row>
    <row r="18" customFormat="false" ht="15" hidden="false" customHeight="false" outlineLevel="0" collapsed="false">
      <c r="A18" s="3" t="s">
        <v>298</v>
      </c>
    </row>
    <row r="19" customFormat="false" ht="15" hidden="false" customHeight="false" outlineLevel="0" collapsed="false">
      <c r="A19" s="6" t="s">
        <v>65</v>
      </c>
      <c r="B19" s="6" t="s">
        <v>299</v>
      </c>
      <c r="C19" s="6" t="s">
        <v>300</v>
      </c>
      <c r="D19" s="6" t="s">
        <v>301</v>
      </c>
      <c r="E19" s="6" t="s">
        <v>302</v>
      </c>
      <c r="F19" s="6" t="s">
        <v>303</v>
      </c>
    </row>
    <row r="20" customFormat="false" ht="29.25" hidden="false" customHeight="true" outlineLevel="0" collapsed="false">
      <c r="A20" s="4" t="s">
        <v>304</v>
      </c>
      <c r="B20" s="8" t="s">
        <v>242</v>
      </c>
      <c r="C20" s="8" t="s">
        <v>305</v>
      </c>
      <c r="D20" s="8" t="s">
        <v>306</v>
      </c>
      <c r="E20" s="8" t="s">
        <v>307</v>
      </c>
      <c r="F20" s="8" t="s">
        <v>308</v>
      </c>
    </row>
    <row r="21" customFormat="false" ht="42" hidden="false" customHeight="true" outlineLevel="0" collapsed="false">
      <c r="A21" s="4" t="s">
        <v>309</v>
      </c>
      <c r="B21" s="8" t="s">
        <v>242</v>
      </c>
      <c r="C21" s="8" t="s">
        <v>310</v>
      </c>
      <c r="D21" s="8" t="s">
        <v>311</v>
      </c>
      <c r="E21" s="8" t="s">
        <v>307</v>
      </c>
      <c r="F21" s="8" t="s">
        <v>308</v>
      </c>
    </row>
    <row r="22" customFormat="false" ht="29.25" hidden="false" customHeight="true" outlineLevel="0" collapsed="false">
      <c r="A22" s="4" t="s">
        <v>312</v>
      </c>
      <c r="B22" s="8" t="s">
        <v>248</v>
      </c>
      <c r="C22" s="8" t="s">
        <v>305</v>
      </c>
      <c r="D22" s="8" t="s">
        <v>313</v>
      </c>
      <c r="E22" s="8" t="s">
        <v>314</v>
      </c>
      <c r="F22" s="8" t="s">
        <v>315</v>
      </c>
    </row>
    <row r="23" customFormat="false" ht="29.25" hidden="false" customHeight="true" outlineLevel="0" collapsed="false">
      <c r="A23" s="4" t="s">
        <v>316</v>
      </c>
      <c r="B23" s="8" t="s">
        <v>242</v>
      </c>
      <c r="C23" s="8" t="s">
        <v>317</v>
      </c>
      <c r="D23" s="8" t="s">
        <v>318</v>
      </c>
      <c r="E23" s="8" t="s">
        <v>307</v>
      </c>
      <c r="F23" s="8" t="s">
        <v>319</v>
      </c>
    </row>
    <row r="25" customFormat="false" ht="15" hidden="false" customHeight="false" outlineLevel="0" collapsed="false">
      <c r="A25" s="3" t="s">
        <v>320</v>
      </c>
    </row>
    <row r="26" customFormat="false" ht="15" hidden="false" customHeight="false" outlineLevel="0" collapsed="false">
      <c r="A26" s="6" t="s">
        <v>65</v>
      </c>
      <c r="B26" s="6" t="s">
        <v>321</v>
      </c>
      <c r="C26" s="6" t="s">
        <v>322</v>
      </c>
      <c r="D26" s="6" t="s">
        <v>323</v>
      </c>
      <c r="E26" s="6" t="s">
        <v>324</v>
      </c>
      <c r="F26" s="6" t="s">
        <v>303</v>
      </c>
    </row>
    <row r="27" customFormat="false" ht="16.5" hidden="false" customHeight="true" outlineLevel="0" collapsed="false">
      <c r="A27" s="4" t="s">
        <v>325</v>
      </c>
      <c r="B27" s="8" t="s">
        <v>326</v>
      </c>
      <c r="C27" s="8"/>
      <c r="D27" s="8" t="s">
        <v>327</v>
      </c>
      <c r="E27" s="8" t="s">
        <v>328</v>
      </c>
      <c r="F27" s="8"/>
    </row>
    <row r="28" customFormat="false" ht="16.5" hidden="false" customHeight="true" outlineLevel="0" collapsed="false">
      <c r="A28" s="4" t="s">
        <v>329</v>
      </c>
      <c r="B28" s="8" t="s">
        <v>330</v>
      </c>
      <c r="C28" s="8"/>
      <c r="D28" s="8" t="s">
        <v>327</v>
      </c>
      <c r="E28" s="8"/>
      <c r="F28" s="8" t="s">
        <v>331</v>
      </c>
    </row>
    <row r="29" customFormat="false" ht="16.5" hidden="false" customHeight="true" outlineLevel="0" collapsed="false">
      <c r="A29" s="4" t="s">
        <v>332</v>
      </c>
      <c r="B29" s="8" t="s">
        <v>333</v>
      </c>
      <c r="C29" s="8" t="s">
        <v>330</v>
      </c>
      <c r="D29" s="8" t="s">
        <v>327</v>
      </c>
      <c r="E29" s="8" t="s">
        <v>334</v>
      </c>
      <c r="F29" s="8" t="s">
        <v>335</v>
      </c>
    </row>
    <row r="30" customFormat="false" ht="16.5" hidden="false" customHeight="true" outlineLevel="0" collapsed="false">
      <c r="A30" s="4" t="s">
        <v>336</v>
      </c>
      <c r="B30" s="8" t="s">
        <v>337</v>
      </c>
      <c r="C30" s="8" t="s">
        <v>330</v>
      </c>
      <c r="D30" s="8" t="s">
        <v>327</v>
      </c>
      <c r="E30" s="8" t="s">
        <v>338</v>
      </c>
      <c r="F30" s="8" t="s">
        <v>335</v>
      </c>
    </row>
    <row r="31" customFormat="false" ht="16.5" hidden="false" customHeight="true" outlineLevel="0" collapsed="false">
      <c r="A31" s="4" t="s">
        <v>339</v>
      </c>
      <c r="B31" s="8" t="s">
        <v>340</v>
      </c>
      <c r="C31" s="8"/>
      <c r="D31" s="8" t="s">
        <v>327</v>
      </c>
      <c r="E31" s="8" t="s">
        <v>341</v>
      </c>
      <c r="F31" s="8"/>
    </row>
    <row r="33" customFormat="false" ht="15" hidden="false" customHeight="false" outlineLevel="0" collapsed="false">
      <c r="A33" s="3" t="s">
        <v>324</v>
      </c>
    </row>
    <row r="34" customFormat="false" ht="15" hidden="false" customHeight="false" outlineLevel="0" collapsed="false">
      <c r="A34" s="6" t="s">
        <v>65</v>
      </c>
      <c r="B34" s="6" t="s">
        <v>254</v>
      </c>
      <c r="C34" s="6" t="s">
        <v>342</v>
      </c>
      <c r="D34" s="6" t="s">
        <v>343</v>
      </c>
      <c r="E34" s="6" t="s">
        <v>344</v>
      </c>
      <c r="F34" s="6" t="s">
        <v>345</v>
      </c>
    </row>
    <row r="35" customFormat="false" ht="54.75" hidden="false" customHeight="true" outlineLevel="0" collapsed="false">
      <c r="A35" s="4" t="s">
        <v>328</v>
      </c>
      <c r="B35" s="8" t="s">
        <v>253</v>
      </c>
      <c r="C35" s="8" t="s">
        <v>346</v>
      </c>
      <c r="D35" s="8" t="s">
        <v>347</v>
      </c>
      <c r="E35" s="8" t="s">
        <v>348</v>
      </c>
      <c r="F35" s="8" t="s">
        <v>349</v>
      </c>
    </row>
    <row r="36" customFormat="false" ht="29.25" hidden="false" customHeight="true" outlineLevel="0" collapsed="false">
      <c r="A36" s="4" t="s">
        <v>338</v>
      </c>
      <c r="B36" s="8" t="s">
        <v>253</v>
      </c>
      <c r="C36" s="8" t="s">
        <v>350</v>
      </c>
      <c r="D36" s="8" t="s">
        <v>351</v>
      </c>
      <c r="E36" s="8" t="s">
        <v>352</v>
      </c>
      <c r="F36" s="8" t="s">
        <v>353</v>
      </c>
    </row>
    <row r="37" customFormat="false" ht="29.25" hidden="false" customHeight="true" outlineLevel="0" collapsed="false">
      <c r="A37" s="4" t="s">
        <v>334</v>
      </c>
      <c r="B37" s="8" t="s">
        <v>253</v>
      </c>
      <c r="C37" s="8" t="s">
        <v>354</v>
      </c>
      <c r="D37" s="8" t="s">
        <v>355</v>
      </c>
      <c r="E37" s="8" t="s">
        <v>356</v>
      </c>
      <c r="F37" s="8" t="s">
        <v>357</v>
      </c>
    </row>
    <row r="38" customFormat="false" ht="16.5" hidden="false" customHeight="true" outlineLevel="0" collapsed="false">
      <c r="A38" s="4" t="s">
        <v>341</v>
      </c>
      <c r="B38" s="8" t="s">
        <v>253</v>
      </c>
      <c r="C38" s="8" t="s">
        <v>358</v>
      </c>
      <c r="D38" s="8" t="s">
        <v>359</v>
      </c>
      <c r="E38" s="8" t="s">
        <v>360</v>
      </c>
      <c r="F38" s="8" t="s">
        <v>361</v>
      </c>
    </row>
    <row r="39" customFormat="false" ht="16.5" hidden="false" customHeight="true" outlineLevel="0" collapsed="false">
      <c r="A39" s="4" t="s">
        <v>362</v>
      </c>
      <c r="B39" s="8" t="s">
        <v>259</v>
      </c>
      <c r="C39" s="8" t="s">
        <v>363</v>
      </c>
      <c r="D39" s="8" t="s">
        <v>364</v>
      </c>
      <c r="E39" s="8" t="s">
        <v>365</v>
      </c>
      <c r="F39" s="8" t="s">
        <v>366</v>
      </c>
    </row>
    <row r="40" customFormat="false" ht="16.5" hidden="false" customHeight="true" outlineLevel="0" collapsed="false">
      <c r="A40" s="4" t="s">
        <v>367</v>
      </c>
      <c r="B40" s="8" t="s">
        <v>259</v>
      </c>
      <c r="C40" s="8" t="s">
        <v>368</v>
      </c>
      <c r="D40" s="8" t="s">
        <v>369</v>
      </c>
      <c r="E40" s="8" t="s">
        <v>370</v>
      </c>
      <c r="F40" s="8" t="s">
        <v>371</v>
      </c>
    </row>
    <row r="41" customFormat="false" ht="16.5" hidden="false" customHeight="true" outlineLevel="0" collapsed="false">
      <c r="A41" s="4" t="s">
        <v>372</v>
      </c>
      <c r="B41" s="8" t="s">
        <v>259</v>
      </c>
      <c r="C41" s="8" t="s">
        <v>373</v>
      </c>
      <c r="D41" s="8" t="s">
        <v>374</v>
      </c>
      <c r="E41" s="8" t="s">
        <v>375</v>
      </c>
      <c r="F41" s="8" t="s">
        <v>376</v>
      </c>
    </row>
    <row r="43" customFormat="false" ht="15" hidden="false" customHeight="false" outlineLevel="0" collapsed="false">
      <c r="A43" s="3" t="s">
        <v>377</v>
      </c>
    </row>
    <row r="44" customFormat="false" ht="15" hidden="false" customHeight="false" outlineLevel="0" collapsed="false">
      <c r="A44" s="6" t="s">
        <v>378</v>
      </c>
      <c r="B44" s="6" t="s">
        <v>379</v>
      </c>
      <c r="C44" s="6" t="s">
        <v>380</v>
      </c>
      <c r="D44" s="6" t="s">
        <v>381</v>
      </c>
      <c r="E44" s="6" t="s">
        <v>382</v>
      </c>
      <c r="F44" s="6" t="s">
        <v>383</v>
      </c>
    </row>
    <row r="45" customFormat="false" ht="29.25" hidden="false" customHeight="true" outlineLevel="0" collapsed="false">
      <c r="A45" s="4" t="s">
        <v>384</v>
      </c>
      <c r="B45" s="8" t="s">
        <v>385</v>
      </c>
      <c r="C45" s="8" t="s">
        <v>386</v>
      </c>
      <c r="D45" s="8" t="s">
        <v>387</v>
      </c>
      <c r="E45" s="8" t="s">
        <v>388</v>
      </c>
      <c r="F45" s="8" t="s">
        <v>389</v>
      </c>
    </row>
    <row r="46" customFormat="false" ht="29.25" hidden="false" customHeight="true" outlineLevel="0" collapsed="false">
      <c r="A46" s="4" t="s">
        <v>390</v>
      </c>
      <c r="B46" s="8" t="s">
        <v>385</v>
      </c>
      <c r="C46" s="8" t="s">
        <v>391</v>
      </c>
      <c r="D46" s="8" t="s">
        <v>392</v>
      </c>
      <c r="E46" s="8" t="s">
        <v>393</v>
      </c>
      <c r="F46" s="8" t="s">
        <v>389</v>
      </c>
    </row>
    <row r="47" customFormat="false" ht="16.5" hidden="false" customHeight="true" outlineLevel="0" collapsed="false">
      <c r="A47" s="4" t="s">
        <v>394</v>
      </c>
      <c r="B47" s="8" t="s">
        <v>395</v>
      </c>
      <c r="C47" s="8" t="s">
        <v>396</v>
      </c>
      <c r="D47" s="8" t="s">
        <v>397</v>
      </c>
      <c r="E47" s="8" t="s">
        <v>398</v>
      </c>
      <c r="F47" s="8" t="s">
        <v>399</v>
      </c>
    </row>
    <row r="48" customFormat="false" ht="16.5" hidden="false" customHeight="true" outlineLevel="0" collapsed="false">
      <c r="A48" s="4" t="s">
        <v>400</v>
      </c>
      <c r="B48" s="8" t="s">
        <v>385</v>
      </c>
      <c r="C48" s="8" t="s">
        <v>401</v>
      </c>
      <c r="D48" s="8" t="s">
        <v>402</v>
      </c>
      <c r="E48" s="8" t="s">
        <v>403</v>
      </c>
      <c r="F48" s="8" t="s">
        <v>389</v>
      </c>
    </row>
    <row r="49" customFormat="false" ht="16.5" hidden="false" customHeight="true" outlineLevel="0" collapsed="false">
      <c r="A49" s="4" t="s">
        <v>404</v>
      </c>
      <c r="B49" s="8" t="s">
        <v>385</v>
      </c>
      <c r="C49" s="8" t="s">
        <v>401</v>
      </c>
      <c r="D49" s="8" t="s">
        <v>402</v>
      </c>
      <c r="E49" s="8" t="s">
        <v>405</v>
      </c>
      <c r="F49" s="8" t="s">
        <v>389</v>
      </c>
    </row>
    <row r="50" customFormat="false" ht="29.25" hidden="false" customHeight="true" outlineLevel="0" collapsed="false">
      <c r="A50" s="4" t="s">
        <v>406</v>
      </c>
      <c r="B50" s="8" t="s">
        <v>385</v>
      </c>
      <c r="C50" s="8" t="s">
        <v>407</v>
      </c>
      <c r="D50" s="8" t="s">
        <v>408</v>
      </c>
      <c r="E50" s="8" t="s">
        <v>409</v>
      </c>
      <c r="F50" s="8" t="s">
        <v>389</v>
      </c>
    </row>
    <row r="51" customFormat="false" ht="16.5" hidden="false" customHeight="true" outlineLevel="0" collapsed="false">
      <c r="A51" s="4" t="s">
        <v>410</v>
      </c>
      <c r="B51" s="8" t="s">
        <v>411</v>
      </c>
      <c r="C51" s="8" t="s">
        <v>396</v>
      </c>
      <c r="D51" s="8" t="s">
        <v>412</v>
      </c>
      <c r="E51" s="8" t="s">
        <v>413</v>
      </c>
      <c r="F51" s="8" t="s">
        <v>389</v>
      </c>
    </row>
    <row r="52" customFormat="false" ht="16.5" hidden="false" customHeight="true" outlineLevel="0" collapsed="false">
      <c r="A52" s="4" t="s">
        <v>414</v>
      </c>
      <c r="B52" s="8" t="s">
        <v>411</v>
      </c>
      <c r="C52" s="8" t="s">
        <v>415</v>
      </c>
      <c r="D52" s="8" t="s">
        <v>416</v>
      </c>
      <c r="E52" s="8" t="s">
        <v>413</v>
      </c>
      <c r="F52" s="8" t="s">
        <v>389</v>
      </c>
    </row>
    <row r="54" customFormat="false" ht="15" hidden="false" customHeight="false" outlineLevel="0" collapsed="false">
      <c r="A54" s="3" t="s">
        <v>417</v>
      </c>
    </row>
    <row r="55" customFormat="false" ht="15" hidden="false" customHeight="false" outlineLevel="0" collapsed="false">
      <c r="A55" s="6" t="s">
        <v>418</v>
      </c>
      <c r="B55" s="6" t="s">
        <v>419</v>
      </c>
      <c r="C55" s="6" t="s">
        <v>420</v>
      </c>
      <c r="D55" s="6" t="s">
        <v>421</v>
      </c>
      <c r="E55" s="6"/>
      <c r="F55" s="6" t="s">
        <v>303</v>
      </c>
    </row>
    <row r="56" customFormat="false" ht="16.5" hidden="false" customHeight="true" outlineLevel="0" collapsed="false">
      <c r="A56" s="4" t="s">
        <v>422</v>
      </c>
      <c r="B56" s="8" t="s">
        <v>423</v>
      </c>
      <c r="C56" s="8" t="s">
        <v>424</v>
      </c>
      <c r="D56" s="8" t="s">
        <v>425</v>
      </c>
      <c r="E56" s="8"/>
      <c r="F56" s="8" t="s">
        <v>426</v>
      </c>
    </row>
    <row r="57" customFormat="false" ht="29.25" hidden="false" customHeight="true" outlineLevel="0" collapsed="false">
      <c r="A57" s="4" t="s">
        <v>427</v>
      </c>
      <c r="B57" s="8" t="s">
        <v>428</v>
      </c>
      <c r="C57" s="8" t="s">
        <v>429</v>
      </c>
      <c r="D57" s="8" t="s">
        <v>430</v>
      </c>
      <c r="E57" s="8"/>
      <c r="F57" s="8" t="s">
        <v>431</v>
      </c>
    </row>
    <row r="58" customFormat="false" ht="29.25" hidden="false" customHeight="true" outlineLevel="0" collapsed="false">
      <c r="A58" s="4" t="s">
        <v>432</v>
      </c>
      <c r="B58" s="8" t="s">
        <v>428</v>
      </c>
      <c r="C58" s="8" t="s">
        <v>429</v>
      </c>
      <c r="D58" s="8" t="s">
        <v>433</v>
      </c>
      <c r="E58" s="8"/>
      <c r="F58" s="8" t="s">
        <v>434</v>
      </c>
    </row>
    <row r="59" customFormat="false" ht="29.25" hidden="false" customHeight="true" outlineLevel="0" collapsed="false">
      <c r="A59" s="4" t="s">
        <v>435</v>
      </c>
      <c r="B59" s="8" t="s">
        <v>436</v>
      </c>
      <c r="C59" s="8" t="s">
        <v>437</v>
      </c>
      <c r="D59" s="8"/>
      <c r="E59" s="8"/>
      <c r="F59" s="8" t="s">
        <v>438</v>
      </c>
    </row>
    <row r="61" customFormat="false" ht="15" hidden="false" customHeight="false" outlineLevel="0" collapsed="false">
      <c r="A61" s="3" t="s">
        <v>439</v>
      </c>
    </row>
    <row r="62" customFormat="false" ht="15" hidden="false" customHeight="false" outlineLevel="0" collapsed="false">
      <c r="A62" s="6" t="s">
        <v>440</v>
      </c>
      <c r="B62" s="6" t="s">
        <v>441</v>
      </c>
      <c r="C62" s="6" t="s">
        <v>442</v>
      </c>
      <c r="D62" s="6" t="s">
        <v>443</v>
      </c>
      <c r="E62" s="6"/>
      <c r="F62" s="6"/>
    </row>
    <row r="63" customFormat="false" ht="29.25" hidden="false" customHeight="true" outlineLevel="0" collapsed="false">
      <c r="A63" s="4" t="s">
        <v>444</v>
      </c>
      <c r="B63" s="8" t="s">
        <v>445</v>
      </c>
      <c r="C63" s="8" t="s">
        <v>446</v>
      </c>
      <c r="D63" s="8" t="s">
        <v>447</v>
      </c>
      <c r="E63" s="8"/>
      <c r="F63" s="8"/>
    </row>
    <row r="64" customFormat="false" ht="16.5" hidden="false" customHeight="true" outlineLevel="0" collapsed="false">
      <c r="A64" s="4" t="s">
        <v>448</v>
      </c>
      <c r="B64" s="8" t="s">
        <v>449</v>
      </c>
      <c r="C64" s="8" t="s">
        <v>364</v>
      </c>
      <c r="D64" s="8"/>
      <c r="E64" s="8"/>
      <c r="F64" s="8"/>
    </row>
    <row r="65" customFormat="false" ht="16.5" hidden="false" customHeight="true" outlineLevel="0" collapsed="false">
      <c r="A65" s="4" t="s">
        <v>450</v>
      </c>
      <c r="B65" s="8" t="s">
        <v>451</v>
      </c>
      <c r="C65" s="8" t="s">
        <v>452</v>
      </c>
      <c r="D65" s="8" t="s">
        <v>453</v>
      </c>
      <c r="E65" s="8"/>
      <c r="F65" s="8"/>
    </row>
    <row r="66" customFormat="false" ht="29.25" hidden="false" customHeight="true" outlineLevel="0" collapsed="false">
      <c r="A66" s="4" t="s">
        <v>454</v>
      </c>
      <c r="B66" s="8" t="s">
        <v>455</v>
      </c>
      <c r="C66" s="8" t="s">
        <v>456</v>
      </c>
      <c r="D66" s="8" t="s">
        <v>457</v>
      </c>
      <c r="E66" s="8"/>
      <c r="F66" s="8"/>
    </row>
    <row r="67" customFormat="false" ht="29.25" hidden="false" customHeight="true" outlineLevel="0" collapsed="false">
      <c r="A67" s="4" t="s">
        <v>375</v>
      </c>
      <c r="B67" s="8" t="s">
        <v>458</v>
      </c>
      <c r="C67" s="8" t="s">
        <v>428</v>
      </c>
      <c r="D67" s="8"/>
      <c r="E67" s="8"/>
      <c r="F67" s="8"/>
    </row>
    <row r="68" customFormat="false" ht="16.5" hidden="false" customHeight="true" outlineLevel="0" collapsed="false">
      <c r="A68" s="4" t="s">
        <v>459</v>
      </c>
      <c r="B68" s="8" t="s">
        <v>460</v>
      </c>
      <c r="C68" s="8" t="s">
        <v>461</v>
      </c>
      <c r="D68" s="8" t="s">
        <v>462</v>
      </c>
      <c r="E68" s="8"/>
      <c r="F68" s="8"/>
    </row>
    <row r="69" customFormat="false" ht="16.5" hidden="false" customHeight="true" outlineLevel="0" collapsed="false">
      <c r="A69" s="4" t="s">
        <v>463</v>
      </c>
      <c r="B69" s="8" t="s">
        <v>464</v>
      </c>
      <c r="C69" s="8" t="s">
        <v>465</v>
      </c>
      <c r="D69" s="8" t="s">
        <v>466</v>
      </c>
      <c r="E69" s="8"/>
      <c r="F69" s="8"/>
    </row>
    <row r="70" customFormat="false" ht="16.5" hidden="false" customHeight="true" outlineLevel="0" collapsed="false">
      <c r="A70" s="4" t="s">
        <v>467</v>
      </c>
      <c r="B70" s="8" t="s">
        <v>468</v>
      </c>
      <c r="C70" s="8" t="s">
        <v>461</v>
      </c>
      <c r="D70" s="8" t="s">
        <v>469</v>
      </c>
      <c r="E70" s="8"/>
      <c r="F70" s="8"/>
    </row>
    <row r="71" customFormat="false" ht="16.5" hidden="false" customHeight="true" outlineLevel="0" collapsed="false">
      <c r="A71" s="4" t="s">
        <v>470</v>
      </c>
      <c r="B71" s="8" t="s">
        <v>471</v>
      </c>
      <c r="C71" s="8" t="s">
        <v>472</v>
      </c>
      <c r="D71" s="8" t="s">
        <v>473</v>
      </c>
      <c r="E71" s="8"/>
      <c r="F71" s="8"/>
    </row>
    <row r="72" customFormat="false" ht="29.25" hidden="false" customHeight="true" outlineLevel="0" collapsed="false">
      <c r="A72" s="4" t="s">
        <v>474</v>
      </c>
      <c r="B72" s="8" t="s">
        <v>475</v>
      </c>
      <c r="C72" s="8" t="s">
        <v>476</v>
      </c>
      <c r="D72" s="8" t="s">
        <v>477</v>
      </c>
      <c r="E72" s="8"/>
      <c r="F72" s="8"/>
    </row>
    <row r="73" customFormat="false" ht="29.25" hidden="false" customHeight="true" outlineLevel="0" collapsed="false">
      <c r="A73" s="4" t="s">
        <v>478</v>
      </c>
      <c r="B73" s="8" t="s">
        <v>479</v>
      </c>
      <c r="C73" s="8" t="s">
        <v>480</v>
      </c>
      <c r="D73" s="8" t="s">
        <v>481</v>
      </c>
      <c r="E73" s="8"/>
      <c r="F73" s="8"/>
    </row>
    <row r="75" customFormat="false" ht="15" hidden="false" customHeight="false" outlineLevel="0" collapsed="false">
      <c r="A75" s="3" t="s">
        <v>482</v>
      </c>
    </row>
    <row r="76" customFormat="false" ht="15" hidden="false" customHeight="false" outlineLevel="0" collapsed="false">
      <c r="A76" s="6" t="s">
        <v>441</v>
      </c>
      <c r="B76" s="6" t="s">
        <v>483</v>
      </c>
      <c r="C76" s="6"/>
      <c r="D76" s="6"/>
      <c r="E76" s="6"/>
      <c r="F76" s="6" t="s">
        <v>303</v>
      </c>
    </row>
    <row r="77" customFormat="false" ht="29.25" hidden="false" customHeight="true" outlineLevel="0" collapsed="false">
      <c r="A77" s="4" t="s">
        <v>484</v>
      </c>
      <c r="B77" s="8" t="s">
        <v>485</v>
      </c>
      <c r="C77" s="8"/>
      <c r="D77" s="8"/>
      <c r="E77" s="8"/>
      <c r="F77" s="8" t="s">
        <v>486</v>
      </c>
    </row>
    <row r="78" customFormat="false" ht="42" hidden="false" customHeight="true" outlineLevel="0" collapsed="false">
      <c r="A78" s="4" t="s">
        <v>166</v>
      </c>
      <c r="B78" s="8" t="s">
        <v>487</v>
      </c>
      <c r="C78" s="8"/>
      <c r="D78" s="8"/>
      <c r="E78" s="8"/>
      <c r="F78" s="8" t="s">
        <v>165</v>
      </c>
    </row>
    <row r="79" customFormat="false" ht="42" hidden="false" customHeight="true" outlineLevel="0" collapsed="false">
      <c r="A79" s="4" t="s">
        <v>488</v>
      </c>
      <c r="B79" s="8" t="s">
        <v>489</v>
      </c>
      <c r="C79" s="8"/>
      <c r="D79" s="8"/>
      <c r="E79" s="8"/>
      <c r="F79" s="8" t="s">
        <v>490</v>
      </c>
    </row>
    <row r="80" customFormat="false" ht="29.25" hidden="false" customHeight="true" outlineLevel="0" collapsed="false">
      <c r="A80" s="4" t="s">
        <v>491</v>
      </c>
      <c r="B80" s="8" t="s">
        <v>492</v>
      </c>
      <c r="C80" s="8"/>
      <c r="D80" s="8"/>
      <c r="E80" s="8"/>
      <c r="F80" s="8" t="s">
        <v>493</v>
      </c>
    </row>
    <row r="81" customFormat="false" ht="29.25" hidden="false" customHeight="true" outlineLevel="0" collapsed="false">
      <c r="A81" s="4" t="s">
        <v>494</v>
      </c>
      <c r="B81" s="8" t="s">
        <v>495</v>
      </c>
      <c r="C81" s="8"/>
      <c r="D81" s="8"/>
      <c r="E81" s="8"/>
      <c r="F81" s="8"/>
    </row>
    <row r="82" customFormat="false" ht="42" hidden="false" customHeight="true" outlineLevel="0" collapsed="false">
      <c r="A82" s="4" t="s">
        <v>496</v>
      </c>
      <c r="B82" s="8" t="s">
        <v>497</v>
      </c>
      <c r="C82" s="8"/>
      <c r="D82" s="8"/>
      <c r="E82" s="8"/>
      <c r="F82" s="8" t="s">
        <v>498</v>
      </c>
    </row>
    <row r="83" customFormat="false" ht="42" hidden="false" customHeight="true" outlineLevel="0" collapsed="false">
      <c r="A83" s="4" t="s">
        <v>499</v>
      </c>
      <c r="B83" s="8" t="s">
        <v>500</v>
      </c>
      <c r="C83" s="8"/>
      <c r="D83" s="8"/>
      <c r="E83" s="8"/>
      <c r="F83" s="8" t="s">
        <v>501</v>
      </c>
    </row>
    <row r="85" customFormat="false" ht="15" hidden="false" customHeight="false" outlineLevel="0" collapsed="false">
      <c r="A85" s="3" t="s">
        <v>502</v>
      </c>
    </row>
    <row r="86" customFormat="false" ht="15" hidden="false" customHeight="false" outlineLevel="0" collapsed="false">
      <c r="A86" s="6" t="s">
        <v>65</v>
      </c>
      <c r="B86" s="6" t="s">
        <v>237</v>
      </c>
      <c r="C86" s="6" t="s">
        <v>238</v>
      </c>
      <c r="D86" s="6" t="s">
        <v>239</v>
      </c>
      <c r="E86" s="6" t="s">
        <v>240</v>
      </c>
      <c r="F86" s="6" t="s">
        <v>241</v>
      </c>
    </row>
    <row r="87" customFormat="false" ht="29.25" hidden="false" customHeight="true" outlineLevel="0" collapsed="false">
      <c r="A87" s="4" t="s">
        <v>503</v>
      </c>
      <c r="B87" s="8" t="s">
        <v>504</v>
      </c>
      <c r="C87" s="8" t="s">
        <v>505</v>
      </c>
      <c r="D87" s="8" t="s">
        <v>506</v>
      </c>
      <c r="E87" s="8" t="s">
        <v>507</v>
      </c>
      <c r="F87" s="8" t="s">
        <v>508</v>
      </c>
    </row>
    <row r="88" customFormat="false" ht="29.25" hidden="false" customHeight="true" outlineLevel="0" collapsed="false">
      <c r="A88" s="4" t="s">
        <v>509</v>
      </c>
      <c r="B88" s="8" t="s">
        <v>504</v>
      </c>
      <c r="C88" s="8" t="s">
        <v>510</v>
      </c>
      <c r="D88" s="8" t="s">
        <v>511</v>
      </c>
      <c r="E88" s="8" t="s">
        <v>512</v>
      </c>
      <c r="F88" s="8" t="s">
        <v>513</v>
      </c>
    </row>
    <row r="89" customFormat="false" ht="29.25" hidden="false" customHeight="true" outlineLevel="0" collapsed="false">
      <c r="A89" s="4" t="s">
        <v>514</v>
      </c>
      <c r="B89" s="8" t="s">
        <v>504</v>
      </c>
      <c r="C89" s="8" t="s">
        <v>515</v>
      </c>
      <c r="D89" s="8" t="s">
        <v>516</v>
      </c>
      <c r="E89" s="8" t="s">
        <v>507</v>
      </c>
      <c r="F89" s="8" t="s">
        <v>517</v>
      </c>
    </row>
    <row r="90" customFormat="false" ht="29.25" hidden="false" customHeight="true" outlineLevel="0" collapsed="false">
      <c r="A90" s="4" t="s">
        <v>518</v>
      </c>
      <c r="B90" s="8" t="s">
        <v>504</v>
      </c>
      <c r="C90" s="8" t="s">
        <v>519</v>
      </c>
      <c r="D90" s="8" t="s">
        <v>520</v>
      </c>
      <c r="E90" s="8" t="s">
        <v>507</v>
      </c>
      <c r="F90" s="8" t="s">
        <v>521</v>
      </c>
    </row>
    <row r="92" customFormat="false" ht="15" hidden="false" customHeight="false" outlineLevel="0" collapsed="false">
      <c r="A92" s="3" t="s">
        <v>522</v>
      </c>
    </row>
    <row r="93" customFormat="false" ht="15" hidden="false" customHeight="false" outlineLevel="0" collapsed="false">
      <c r="A93" s="6" t="s">
        <v>65</v>
      </c>
      <c r="B93" s="6" t="s">
        <v>523</v>
      </c>
      <c r="C93" s="6" t="s">
        <v>301</v>
      </c>
      <c r="D93" s="6" t="s">
        <v>524</v>
      </c>
      <c r="E93" s="6" t="s">
        <v>525</v>
      </c>
      <c r="F93" s="6" t="s">
        <v>303</v>
      </c>
    </row>
    <row r="94" customFormat="false" ht="54.75" hidden="false" customHeight="true" outlineLevel="0" collapsed="false">
      <c r="A94" s="4" t="s">
        <v>526</v>
      </c>
      <c r="B94" s="8" t="s">
        <v>527</v>
      </c>
      <c r="C94" s="8" t="s">
        <v>528</v>
      </c>
      <c r="D94" s="8" t="s">
        <v>268</v>
      </c>
      <c r="E94" s="8" t="s">
        <v>529</v>
      </c>
      <c r="F94" s="8" t="s">
        <v>530</v>
      </c>
    </row>
    <row r="95" customFormat="false" ht="42" hidden="false" customHeight="true" outlineLevel="0" collapsed="false">
      <c r="A95" s="4" t="s">
        <v>531</v>
      </c>
      <c r="B95" s="8" t="s">
        <v>532</v>
      </c>
      <c r="C95" s="8" t="s">
        <v>533</v>
      </c>
      <c r="D95" s="8" t="s">
        <v>268</v>
      </c>
      <c r="E95" s="8" t="s">
        <v>534</v>
      </c>
      <c r="F95" s="8" t="s">
        <v>535</v>
      </c>
    </row>
    <row r="96" customFormat="false" ht="29.25" hidden="false" customHeight="true" outlineLevel="0" collapsed="false">
      <c r="A96" s="4" t="s">
        <v>536</v>
      </c>
      <c r="B96" s="8" t="s">
        <v>537</v>
      </c>
      <c r="C96" s="8" t="s">
        <v>538</v>
      </c>
      <c r="D96" s="8" t="s">
        <v>268</v>
      </c>
      <c r="E96" s="8" t="s">
        <v>539</v>
      </c>
      <c r="F96" s="8" t="s">
        <v>540</v>
      </c>
    </row>
    <row r="97" customFormat="false" ht="29.25" hidden="false" customHeight="true" outlineLevel="0" collapsed="false">
      <c r="A97" s="4" t="s">
        <v>541</v>
      </c>
      <c r="B97" s="8" t="s">
        <v>542</v>
      </c>
      <c r="C97" s="8" t="s">
        <v>543</v>
      </c>
      <c r="D97" s="8" t="s">
        <v>274</v>
      </c>
      <c r="E97" s="8" t="s">
        <v>544</v>
      </c>
      <c r="F97" s="8" t="s">
        <v>545</v>
      </c>
    </row>
    <row r="99" customFormat="false" ht="15" hidden="false" customHeight="false" outlineLevel="0" collapsed="false">
      <c r="A99" s="3" t="s">
        <v>546</v>
      </c>
    </row>
    <row r="100" customFormat="false" ht="15" hidden="false" customHeight="false" outlineLevel="0" collapsed="false">
      <c r="A100" s="6" t="s">
        <v>65</v>
      </c>
      <c r="B100" s="6" t="s">
        <v>441</v>
      </c>
      <c r="C100" s="6" t="s">
        <v>483</v>
      </c>
      <c r="D100" s="6" t="s">
        <v>547</v>
      </c>
      <c r="E100" s="6" t="s">
        <v>548</v>
      </c>
      <c r="F100" s="6" t="s">
        <v>303</v>
      </c>
    </row>
    <row r="101" customFormat="false" ht="42" hidden="false" customHeight="true" outlineLevel="0" collapsed="false">
      <c r="A101" s="4" t="s">
        <v>549</v>
      </c>
      <c r="B101" s="8" t="s">
        <v>550</v>
      </c>
      <c r="C101" s="8" t="s">
        <v>551</v>
      </c>
      <c r="D101" s="8" t="s">
        <v>552</v>
      </c>
      <c r="E101" s="8" t="s">
        <v>553</v>
      </c>
      <c r="F101" s="8" t="s">
        <v>554</v>
      </c>
    </row>
    <row r="102" customFormat="false" ht="16.5" hidden="false" customHeight="true" outlineLevel="0" collapsed="false">
      <c r="A102" s="4" t="s">
        <v>555</v>
      </c>
      <c r="B102" s="8" t="s">
        <v>556</v>
      </c>
      <c r="C102" s="8" t="s">
        <v>557</v>
      </c>
      <c r="D102" s="8" t="s">
        <v>558</v>
      </c>
      <c r="E102" s="8" t="s">
        <v>559</v>
      </c>
      <c r="F102" s="8" t="s">
        <v>560</v>
      </c>
    </row>
    <row r="103" customFormat="false" ht="29.25" hidden="false" customHeight="true" outlineLevel="0" collapsed="false">
      <c r="A103" s="4" t="s">
        <v>561</v>
      </c>
      <c r="B103" s="8" t="s">
        <v>562</v>
      </c>
      <c r="C103" s="8" t="s">
        <v>563</v>
      </c>
      <c r="D103" s="8" t="s">
        <v>564</v>
      </c>
      <c r="E103" s="8"/>
      <c r="F103" s="8" t="s">
        <v>189</v>
      </c>
    </row>
    <row r="104" customFormat="false" ht="16.5" hidden="false" customHeight="true" outlineLevel="0" collapsed="false">
      <c r="A104" s="4" t="s">
        <v>565</v>
      </c>
      <c r="B104" s="8" t="s">
        <v>566</v>
      </c>
      <c r="C104" s="8" t="s">
        <v>567</v>
      </c>
      <c r="D104" s="8" t="s">
        <v>568</v>
      </c>
      <c r="E104" s="8"/>
      <c r="F104" s="8" t="s">
        <v>186</v>
      </c>
    </row>
    <row r="105" customFormat="false" ht="29.25" hidden="false" customHeight="true" outlineLevel="0" collapsed="false">
      <c r="A105" s="4" t="s">
        <v>569</v>
      </c>
      <c r="B105" s="8" t="s">
        <v>570</v>
      </c>
      <c r="C105" s="8" t="s">
        <v>571</v>
      </c>
      <c r="D105" s="8" t="s">
        <v>572</v>
      </c>
      <c r="E105" s="8"/>
      <c r="F105" s="8" t="s">
        <v>183</v>
      </c>
    </row>
    <row r="106" customFormat="false" ht="29.25" hidden="false" customHeight="true" outlineLevel="0" collapsed="false">
      <c r="A106" s="4" t="s">
        <v>573</v>
      </c>
      <c r="B106" s="8" t="s">
        <v>574</v>
      </c>
      <c r="C106" s="8" t="s">
        <v>575</v>
      </c>
      <c r="D106" s="8" t="s">
        <v>576</v>
      </c>
      <c r="E106" s="8"/>
      <c r="F106" s="8"/>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24"/>
    <col collapsed="false" customWidth="true" hidden="false" outlineLevel="0" max="4" min="4" style="0" width="46"/>
    <col collapsed="false" customWidth="true" hidden="false" outlineLevel="0" max="5" min="5" style="0" width="20"/>
  </cols>
  <sheetData>
    <row r="1" customFormat="false" ht="17.35" hidden="false" customHeight="false" outlineLevel="0" collapsed="false">
      <c r="A1" s="1" t="s">
        <v>577</v>
      </c>
    </row>
    <row r="2" customFormat="false" ht="30" hidden="false" customHeight="true" outlineLevel="0" collapsed="false">
      <c r="A2" s="11" t="s">
        <v>578</v>
      </c>
      <c r="B2" s="11"/>
      <c r="C2" s="11"/>
      <c r="D2" s="11"/>
      <c r="E2" s="11"/>
    </row>
    <row r="4" customFormat="false" ht="15" hidden="false" customHeight="false" outlineLevel="0" collapsed="false">
      <c r="A4" s="6" t="s">
        <v>579</v>
      </c>
      <c r="B4" s="6" t="s">
        <v>380</v>
      </c>
      <c r="C4" s="6" t="s">
        <v>580</v>
      </c>
      <c r="D4" s="6" t="s">
        <v>581</v>
      </c>
      <c r="E4" s="6" t="s">
        <v>582</v>
      </c>
    </row>
    <row r="5" customFormat="false" ht="15" hidden="false" customHeight="false" outlineLevel="0" collapsed="false">
      <c r="A5" s="7" t="s">
        <v>583</v>
      </c>
      <c r="B5" s="8" t="s">
        <v>584</v>
      </c>
      <c r="C5" s="8" t="s">
        <v>585</v>
      </c>
      <c r="D5" s="8" t="s">
        <v>586</v>
      </c>
      <c r="E5" s="8" t="s">
        <v>587</v>
      </c>
    </row>
    <row r="6" customFormat="false" ht="15" hidden="false" customHeight="false" outlineLevel="0" collapsed="false">
      <c r="A6" s="7" t="s">
        <v>588</v>
      </c>
      <c r="B6" s="8" t="s">
        <v>589</v>
      </c>
      <c r="C6" s="8" t="s">
        <v>590</v>
      </c>
      <c r="D6" s="8" t="s">
        <v>586</v>
      </c>
      <c r="E6" s="8" t="s">
        <v>587</v>
      </c>
    </row>
    <row r="7" customFormat="false" ht="15" hidden="false" customHeight="false" outlineLevel="0" collapsed="false">
      <c r="A7" s="7" t="s">
        <v>591</v>
      </c>
      <c r="B7" s="8" t="s">
        <v>589</v>
      </c>
      <c r="C7" s="8" t="s">
        <v>592</v>
      </c>
      <c r="D7" s="8" t="s">
        <v>593</v>
      </c>
      <c r="E7" s="8" t="s">
        <v>587</v>
      </c>
    </row>
    <row r="8" customFormat="false" ht="15" hidden="false" customHeight="false" outlineLevel="0" collapsed="false">
      <c r="A8" s="7" t="s">
        <v>594</v>
      </c>
      <c r="B8" s="8" t="s">
        <v>584</v>
      </c>
      <c r="C8" s="8" t="s">
        <v>595</v>
      </c>
      <c r="D8" s="8" t="s">
        <v>596</v>
      </c>
      <c r="E8" s="8" t="s">
        <v>587</v>
      </c>
    </row>
    <row r="9" customFormat="false" ht="15" hidden="false" customHeight="false" outlineLevel="0" collapsed="false">
      <c r="A9" s="7" t="s">
        <v>597</v>
      </c>
      <c r="B9" s="8" t="s">
        <v>584</v>
      </c>
      <c r="C9" s="8" t="s">
        <v>598</v>
      </c>
      <c r="D9" s="8" t="s">
        <v>599</v>
      </c>
      <c r="E9" s="8" t="s">
        <v>587</v>
      </c>
    </row>
    <row r="10" customFormat="false" ht="15" hidden="false" customHeight="false" outlineLevel="0" collapsed="false">
      <c r="A10" s="7" t="s">
        <v>600</v>
      </c>
      <c r="B10" s="8" t="s">
        <v>601</v>
      </c>
      <c r="C10" s="8" t="s">
        <v>602</v>
      </c>
      <c r="D10" s="8" t="s">
        <v>603</v>
      </c>
      <c r="E10" s="8" t="s">
        <v>604</v>
      </c>
    </row>
    <row r="11" customFormat="false" ht="15" hidden="false" customHeight="false" outlineLevel="0" collapsed="false">
      <c r="A11" s="7" t="s">
        <v>605</v>
      </c>
      <c r="B11" s="8" t="s">
        <v>584</v>
      </c>
      <c r="C11" s="8" t="s">
        <v>606</v>
      </c>
      <c r="D11" s="8" t="s">
        <v>607</v>
      </c>
      <c r="E11" s="8" t="s">
        <v>587</v>
      </c>
    </row>
    <row r="12" customFormat="false" ht="15" hidden="false" customHeight="false" outlineLevel="0" collapsed="false">
      <c r="A12" s="7" t="s">
        <v>608</v>
      </c>
      <c r="B12" s="8" t="s">
        <v>584</v>
      </c>
      <c r="C12" s="8" t="s">
        <v>609</v>
      </c>
      <c r="D12" s="8" t="s">
        <v>610</v>
      </c>
      <c r="E12" s="8" t="s">
        <v>587</v>
      </c>
    </row>
    <row r="13" customFormat="false" ht="15" hidden="false" customHeight="false" outlineLevel="0" collapsed="false">
      <c r="A13" s="7" t="s">
        <v>611</v>
      </c>
      <c r="B13" s="8" t="s">
        <v>584</v>
      </c>
      <c r="C13" s="8" t="s">
        <v>612</v>
      </c>
      <c r="D13" s="8" t="s">
        <v>613</v>
      </c>
      <c r="E13" s="8" t="s">
        <v>587</v>
      </c>
    </row>
    <row r="14" customFormat="false" ht="15" hidden="false" customHeight="false" outlineLevel="0" collapsed="false">
      <c r="A14" s="7" t="s">
        <v>614</v>
      </c>
      <c r="B14" s="8" t="s">
        <v>584</v>
      </c>
      <c r="C14" s="8" t="s">
        <v>615</v>
      </c>
      <c r="D14" s="8" t="s">
        <v>616</v>
      </c>
      <c r="E14" s="8" t="s">
        <v>617</v>
      </c>
    </row>
    <row r="15" customFormat="false" ht="15" hidden="false" customHeight="false" outlineLevel="0" collapsed="false">
      <c r="A15" s="7" t="s">
        <v>618</v>
      </c>
      <c r="B15" s="8" t="s">
        <v>619</v>
      </c>
      <c r="C15" s="8" t="s">
        <v>620</v>
      </c>
      <c r="D15" s="8" t="s">
        <v>621</v>
      </c>
      <c r="E15" s="8" t="s">
        <v>617</v>
      </c>
    </row>
    <row r="16" customFormat="false" ht="15" hidden="false" customHeight="false" outlineLevel="0" collapsed="false">
      <c r="A16" s="7" t="s">
        <v>622</v>
      </c>
      <c r="B16" s="8" t="s">
        <v>623</v>
      </c>
      <c r="C16" s="8" t="s">
        <v>624</v>
      </c>
      <c r="D16" s="8" t="s">
        <v>625</v>
      </c>
      <c r="E16" s="8" t="s">
        <v>617</v>
      </c>
    </row>
    <row r="17" customFormat="false" ht="15" hidden="false" customHeight="false" outlineLevel="0" collapsed="false">
      <c r="A17" s="7" t="s">
        <v>626</v>
      </c>
      <c r="B17" s="8" t="s">
        <v>627</v>
      </c>
      <c r="C17" s="8" t="s">
        <v>624</v>
      </c>
      <c r="D17" s="8" t="s">
        <v>628</v>
      </c>
      <c r="E17" s="8" t="s">
        <v>617</v>
      </c>
    </row>
    <row r="18" customFormat="false" ht="15" hidden="false" customHeight="false" outlineLevel="0" collapsed="false">
      <c r="A18" s="7" t="s">
        <v>629</v>
      </c>
      <c r="B18" s="8" t="s">
        <v>584</v>
      </c>
      <c r="C18" s="8" t="s">
        <v>630</v>
      </c>
      <c r="D18" s="8" t="s">
        <v>631</v>
      </c>
      <c r="E18" s="8" t="s">
        <v>587</v>
      </c>
    </row>
    <row r="19" customFormat="false" ht="15" hidden="false" customHeight="false" outlineLevel="0" collapsed="false">
      <c r="A19" s="7" t="s">
        <v>632</v>
      </c>
      <c r="B19" s="8" t="s">
        <v>589</v>
      </c>
      <c r="C19" s="8" t="s">
        <v>624</v>
      </c>
      <c r="D19" s="8" t="s">
        <v>633</v>
      </c>
      <c r="E19" s="8" t="s">
        <v>587</v>
      </c>
    </row>
    <row r="20" customFormat="false" ht="23.85" hidden="false" customHeight="false" outlineLevel="0" collapsed="false">
      <c r="A20" s="7" t="s">
        <v>634</v>
      </c>
      <c r="B20" s="8" t="s">
        <v>635</v>
      </c>
      <c r="C20" s="8" t="s">
        <v>636</v>
      </c>
      <c r="D20" s="8" t="s">
        <v>637</v>
      </c>
      <c r="E20" s="8" t="s">
        <v>587</v>
      </c>
    </row>
    <row r="21" customFormat="false" ht="15" hidden="false" customHeight="false" outlineLevel="0" collapsed="false">
      <c r="A21" s="7" t="s">
        <v>638</v>
      </c>
      <c r="B21" s="8" t="s">
        <v>635</v>
      </c>
      <c r="C21" s="8" t="s">
        <v>639</v>
      </c>
      <c r="D21" s="8" t="s">
        <v>640</v>
      </c>
      <c r="E21" s="8" t="s">
        <v>587</v>
      </c>
    </row>
    <row r="22" customFormat="false" ht="15" hidden="false" customHeight="false" outlineLevel="0" collapsed="false">
      <c r="A22" s="7" t="s">
        <v>641</v>
      </c>
      <c r="B22" s="8" t="s">
        <v>584</v>
      </c>
      <c r="C22" s="8" t="s">
        <v>642</v>
      </c>
      <c r="D22" s="8" t="s">
        <v>643</v>
      </c>
      <c r="E22" s="8" t="s">
        <v>587</v>
      </c>
    </row>
    <row r="23" customFormat="false" ht="46.25" hidden="false" customHeight="false" outlineLevel="0" collapsed="false">
      <c r="A23" s="7" t="s">
        <v>644</v>
      </c>
      <c r="B23" s="8" t="s">
        <v>645</v>
      </c>
      <c r="C23" s="8" t="s">
        <v>646</v>
      </c>
      <c r="D23" s="8" t="s">
        <v>647</v>
      </c>
      <c r="E23" s="8" t="s">
        <v>648</v>
      </c>
    </row>
    <row r="24" customFormat="false" ht="23.85" hidden="false" customHeight="false" outlineLevel="0" collapsed="false">
      <c r="A24" s="7" t="s">
        <v>649</v>
      </c>
      <c r="B24" s="8" t="s">
        <v>589</v>
      </c>
      <c r="C24" s="8" t="s">
        <v>650</v>
      </c>
      <c r="D24" s="8" t="s">
        <v>651</v>
      </c>
      <c r="E24" s="8" t="s">
        <v>587</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67.5" hidden="false" customHeight="true" outlineLevel="0" collapsed="false">
      <c r="A2" s="7" t="s">
        <v>665</v>
      </c>
      <c r="B2" s="8" t="s">
        <v>666</v>
      </c>
      <c r="C2" s="8" t="s">
        <v>667</v>
      </c>
      <c r="D2" s="8" t="s">
        <v>52</v>
      </c>
      <c r="E2" s="8" t="s">
        <v>668</v>
      </c>
      <c r="F2" s="8" t="s">
        <v>669</v>
      </c>
      <c r="G2" s="8" t="s">
        <v>670</v>
      </c>
      <c r="H2" s="8" t="s">
        <v>671</v>
      </c>
      <c r="I2" s="8" t="s">
        <v>672</v>
      </c>
      <c r="J2" s="8" t="s">
        <v>114</v>
      </c>
      <c r="K2" s="5" t="inlineStr">
        <is>
          <t xml:space="preserve">The new name and photo stayed saved after signing in again, but the account details did not refresh straight after saving. The bottom menu also partly covered Save.</t>
        </is>
      </c>
      <c r="L2" s="5" t="inlineStr">
        <is>
          <t xml:space="preserve">Fail</t>
        </is>
      </c>
      <c r="M2" s="5" t="inlineStr">
        <is>
          <t xml:space="preserve">Refresh the account details after saving and keep Save visible.</t>
        </is>
      </c>
    </row>
    <row r="3" customFormat="false" ht="67.5" hidden="false" customHeight="true" outlineLevel="0" collapsed="false">
      <c r="A3" s="7" t="s">
        <v>673</v>
      </c>
      <c r="B3" s="8" t="s">
        <v>666</v>
      </c>
      <c r="C3" s="8" t="s">
        <v>674</v>
      </c>
      <c r="D3" s="8" t="s">
        <v>44</v>
      </c>
      <c r="E3" s="8" t="s">
        <v>668</v>
      </c>
      <c r="F3" s="8" t="s">
        <v>669</v>
      </c>
      <c r="G3" s="8" t="s">
        <v>675</v>
      </c>
      <c r="H3" s="8" t="s">
        <v>676</v>
      </c>
      <c r="I3" s="8" t="s">
        <v>677</v>
      </c>
      <c r="J3" s="8" t="s">
        <v>114</v>
      </c>
      <c r="K3" s="5" t="inlineStr">
        <is>
          <t xml:space="preserve">An empty first name was rejected, but Juan123 and a one-letter name were still accepted.</t>
        </is>
      </c>
      <c r="L3" s="5" t="inlineStr">
        <is>
          <t xml:space="preserve">Fail</t>
        </is>
      </c>
      <c r="M3" s="5" t="inlineStr">
        <is>
          <t xml:space="preserve">Reject names containing numbers and add a minimum name length.</t>
        </is>
      </c>
    </row>
    <row r="4" customFormat="false" ht="67.5" hidden="false" customHeight="true" outlineLevel="0" collapsed="false">
      <c r="A4" s="7" t="s">
        <v>678</v>
      </c>
      <c r="B4" s="8" t="s">
        <v>666</v>
      </c>
      <c r="C4" s="8" t="s">
        <v>679</v>
      </c>
      <c r="D4" s="8" t="s">
        <v>52</v>
      </c>
      <c r="E4" s="8" t="s">
        <v>680</v>
      </c>
      <c r="F4" s="8" t="s">
        <v>681</v>
      </c>
      <c r="G4" s="8" t="s">
        <v>682</v>
      </c>
      <c r="H4" s="8" t="s">
        <v>683</v>
      </c>
      <c r="I4" s="8" t="s">
        <v>684</v>
      </c>
      <c r="J4" s="8"/>
      <c r="K4" s="5" t="inlineStr">
        <is>
          <t xml:space="preserve">The password changed successfully. The old password was rejected, and the new password worked when signing in again.</t>
        </is>
      </c>
      <c r="L4" s="5" t="inlineStr">
        <is>
          <t xml:space="preserve">Pass</t>
        </is>
      </c>
      <c r="M4" s="5" t="inlineStr">
        <is>
          <t xml:space="preserve">Worked.</t>
        </is>
      </c>
    </row>
    <row r="5" customFormat="false" ht="54.75" hidden="false" customHeight="true" outlineLevel="0" collapsed="false">
      <c r="A5" s="7" t="s">
        <v>685</v>
      </c>
      <c r="B5" s="8" t="s">
        <v>666</v>
      </c>
      <c r="C5" s="8" t="s">
        <v>686</v>
      </c>
      <c r="D5" s="8" t="s">
        <v>44</v>
      </c>
      <c r="E5" s="8" t="s">
        <v>680</v>
      </c>
      <c r="F5" s="8" t="s">
        <v>681</v>
      </c>
      <c r="G5" s="8" t="s">
        <v>687</v>
      </c>
      <c r="H5" s="8" t="s">
        <v>688</v>
      </c>
      <c r="I5" s="8" t="s">
        <v>689</v>
      </c>
      <c r="J5" s="8"/>
      <c r="K5" s="5" t="inlineStr">
        <is>
          <t xml:space="preserve">The password-change form did not ask for the current password before saving a new one.</t>
        </is>
      </c>
      <c r="L5" s="5" t="inlineStr">
        <is>
          <t xml:space="preserve">Fail</t>
        </is>
      </c>
      <c r="M5" s="5" t="inlineStr">
        <is>
          <t xml:space="preserve">Require the current password before allowing a change.</t>
        </is>
      </c>
    </row>
    <row r="6" customFormat="false" ht="105.75" hidden="false" customHeight="true" outlineLevel="0" collapsed="false">
      <c r="A6" s="7" t="s">
        <v>690</v>
      </c>
      <c r="B6" s="8" t="s">
        <v>666</v>
      </c>
      <c r="C6" s="8" t="s">
        <v>691</v>
      </c>
      <c r="D6" s="8" t="s">
        <v>48</v>
      </c>
      <c r="E6" s="8" t="s">
        <v>680</v>
      </c>
      <c r="F6" s="8" t="s">
        <v>681</v>
      </c>
      <c r="G6" s="8" t="s">
        <v>692</v>
      </c>
      <c r="H6" s="8" t="s">
        <v>693</v>
      </c>
      <c r="I6" s="8" t="s">
        <v>694</v>
      </c>
      <c r="J6" s="8"/>
      <c r="K6" s="5" t="inlineStr">
        <is>
          <t xml:space="preserve">A short password was rejected, but a password with no uppercase letter was accepted.</t>
        </is>
      </c>
      <c r="L6" s="5" t="inlineStr">
        <is>
          <t xml:space="preserve">Fail</t>
        </is>
      </c>
      <c r="M6" s="5" t="inlineStr">
        <is>
          <t xml:space="preserve">Apply all password rules, not just the minimum length.</t>
        </is>
      </c>
    </row>
    <row r="7" customFormat="false" ht="67.5" hidden="false" customHeight="true" outlineLevel="0" collapsed="false">
      <c r="A7" s="7" t="s">
        <v>695</v>
      </c>
      <c r="B7" s="8" t="s">
        <v>666</v>
      </c>
      <c r="C7" s="8" t="s">
        <v>696</v>
      </c>
      <c r="D7" s="8" t="s">
        <v>50</v>
      </c>
      <c r="E7" s="8" t="s">
        <v>680</v>
      </c>
      <c r="F7" s="8" t="s">
        <v>681</v>
      </c>
      <c r="G7" s="8" t="s">
        <v>697</v>
      </c>
      <c r="H7" s="8" t="s">
        <v>698</v>
      </c>
      <c r="I7" s="8" t="s">
        <v>699</v>
      </c>
      <c r="J7" s="8"/>
      <c r="K7" s="5" t="inlineStr">
        <is>
          <t xml:space="preserve">There is no option to change the email address on the profile screen, so the new-email verification step is unavailable.</t>
        </is>
      </c>
      <c r="L7" s="5" t="inlineStr">
        <is>
          <t xml:space="preserve">Not Run</t>
        </is>
      </c>
      <c r="M7" s="5" t="inlineStr">
        <is>
          <t xml:space="preserve">Draft: Add an email-change option with verification.</t>
        </is>
      </c>
    </row>
    <row r="8" customFormat="false" ht="54.75" hidden="false" customHeight="true" outlineLevel="0" collapsed="false">
      <c r="A8" s="7" t="s">
        <v>700</v>
      </c>
      <c r="B8" s="8" t="s">
        <v>666</v>
      </c>
      <c r="C8" s="8" t="s">
        <v>701</v>
      </c>
      <c r="D8" s="8" t="s">
        <v>46</v>
      </c>
      <c r="E8" s="8" t="s">
        <v>668</v>
      </c>
      <c r="F8" s="8" t="s">
        <v>681</v>
      </c>
      <c r="G8" s="8" t="s">
        <v>702</v>
      </c>
      <c r="H8" s="8" t="s">
        <v>703</v>
      </c>
      <c r="I8" s="8" t="s">
        <v>704</v>
      </c>
      <c r="J8" s="8"/>
      <c r="K8" s="5" t="inlineStr">
        <is>
          <t xml:space="preserve">There is no email-change verification screen for entering a wrong or expired code.</t>
        </is>
      </c>
      <c r="L8" s="5" t="inlineStr">
        <is>
          <t xml:space="preserve">Not Run</t>
        </is>
      </c>
      <c r="M8" s="5" t="inlineStr">
        <is>
          <t xml:space="preserve">Draft: This depends on having an email-change feature first.</t>
        </is>
      </c>
    </row>
    <row r="9" customFormat="false" ht="42" hidden="false" customHeight="true" outlineLevel="0" collapsed="false">
      <c r="A9" s="7" t="s">
        <v>705</v>
      </c>
      <c r="B9" s="8" t="s">
        <v>666</v>
      </c>
      <c r="C9" s="8" t="s">
        <v>706</v>
      </c>
      <c r="D9" s="8" t="s">
        <v>44</v>
      </c>
      <c r="E9" s="8" t="s">
        <v>668</v>
      </c>
      <c r="F9" s="8" t="s">
        <v>681</v>
      </c>
      <c r="G9" s="8" t="s">
        <v>707</v>
      </c>
      <c r="H9" s="8" t="s">
        <v>708</v>
      </c>
      <c r="I9" s="8" t="s">
        <v>709</v>
      </c>
      <c r="J9" s="8"/>
      <c r="K9" s="5" t="inlineStr">
        <is>
          <t xml:space="preserve">The profile does not offer email editing, so a duplicate replacement email cannot be submitted through this screen.</t>
        </is>
      </c>
      <c r="L9" s="5" t="inlineStr">
        <is>
          <t xml:space="preserve">Not Run</t>
        </is>
      </c>
      <c r="M9" s="5" t="inlineStr">
        <is>
          <t xml:space="preserve">Draft: Check for duplicate emails when email editing is added.</t>
        </is>
      </c>
    </row>
    <row r="10" customFormat="false" ht="42" hidden="false" customHeight="true" outlineLevel="0" collapsed="false">
      <c r="A10" s="7" t="s">
        <v>710</v>
      </c>
      <c r="B10" s="8" t="s">
        <v>666</v>
      </c>
      <c r="C10" s="8" t="s">
        <v>711</v>
      </c>
      <c r="D10" s="8" t="s">
        <v>50</v>
      </c>
      <c r="E10" s="8" t="s">
        <v>668</v>
      </c>
      <c r="F10" s="8" t="s">
        <v>681</v>
      </c>
      <c r="G10" s="8" t="s">
        <v>712</v>
      </c>
      <c r="H10" s="8" t="s">
        <v>713</v>
      </c>
      <c r="I10" s="8" t="s">
        <v>714</v>
      </c>
      <c r="J10" s="8"/>
      <c r="K10" s="5" t="inlineStr">
        <is>
          <t xml:space="preserve">A short phone number and another buyer's phone number were both saved without verification.</t>
        </is>
      </c>
      <c r="L10" s="5" t="inlineStr">
        <is>
          <t xml:space="preserve">Fail</t>
        </is>
      </c>
      <c r="M10" s="5" t="inlineStr">
        <is>
          <t xml:space="preserve">Reject invalid or duplicate numbers and verify a new number before saving it.</t>
        </is>
      </c>
    </row>
    <row r="11" customFormat="false" ht="80.25" hidden="false" customHeight="true" outlineLevel="0" collapsed="false">
      <c r="A11" s="7" t="s">
        <v>715</v>
      </c>
      <c r="B11" s="8" t="s">
        <v>666</v>
      </c>
      <c r="C11" s="8" t="s">
        <v>716</v>
      </c>
      <c r="D11" s="8" t="s">
        <v>52</v>
      </c>
      <c r="E11" s="8" t="s">
        <v>668</v>
      </c>
      <c r="F11" s="8" t="s">
        <v>717</v>
      </c>
      <c r="G11" s="8" t="s">
        <v>718</v>
      </c>
      <c r="H11" s="8" t="s">
        <v>597</v>
      </c>
      <c r="I11" s="8" t="s">
        <v>719</v>
      </c>
      <c r="J11" s="8" t="s">
        <v>720</v>
      </c>
      <c r="K11" s="5" t="inlineStr">
        <is>
          <t xml:space="preserve">The profile photo picker supports selecting an image. Taking a photo and handling denied camera access still need checking on a phone.</t>
        </is>
      </c>
      <c r="L11" s="5" t="inlineStr">
        <is>
          <t xml:space="preserve">Not Run</t>
        </is>
      </c>
      <c r="M11" s="5" t="inlineStr">
        <is>
          <t xml:space="preserve">Draft: A phone is needed to check the camera and permission messages.</t>
        </is>
      </c>
    </row>
    <row r="12" customFormat="false" ht="93" hidden="false" customHeight="true" outlineLevel="0" collapsed="false">
      <c r="A12" s="7" t="s">
        <v>721</v>
      </c>
      <c r="B12" s="8" t="s">
        <v>666</v>
      </c>
      <c r="C12" s="8" t="s">
        <v>722</v>
      </c>
      <c r="D12" s="8" t="s">
        <v>50</v>
      </c>
      <c r="E12" s="8" t="s">
        <v>680</v>
      </c>
      <c r="F12" s="8" t="s">
        <v>723</v>
      </c>
      <c r="G12" s="8" t="s">
        <v>724</v>
      </c>
      <c r="H12" s="8" t="s">
        <v>725</v>
      </c>
      <c r="I12" s="8" t="s">
        <v>726</v>
      </c>
      <c r="J12" s="8" t="s">
        <v>216</v>
      </c>
      <c r="K12" s="5" t="inlineStr">
        <is>
          <t xml:space="preserve">Another signed-in session stayed active after the password was changed.</t>
        </is>
      </c>
      <c r="L12" s="5" t="inlineStr">
        <is>
          <t xml:space="preserve">Fail</t>
        </is>
      </c>
      <c r="M12" s="5" t="inlineStr">
        <is>
          <t xml:space="preserve">Sign out the other sessions when the password changes; phone behaviour still needs checking.</t>
        </is>
      </c>
    </row>
    <row r="13" customFormat="false" ht="67.5" hidden="false" customHeight="true" outlineLevel="0" collapsed="false">
      <c r="A13" s="7" t="s">
        <v>727</v>
      </c>
      <c r="B13" s="8" t="s">
        <v>666</v>
      </c>
      <c r="C13" s="8" t="s">
        <v>728</v>
      </c>
      <c r="D13" s="8" t="s">
        <v>50</v>
      </c>
      <c r="E13" s="8" t="s">
        <v>680</v>
      </c>
      <c r="F13" s="8" t="s">
        <v>681</v>
      </c>
      <c r="G13" s="8" t="s">
        <v>729</v>
      </c>
      <c r="H13" s="8"/>
      <c r="I13" s="8" t="s">
        <v>730</v>
      </c>
      <c r="J13" s="8" t="s">
        <v>731</v>
      </c>
      <c r="K13" s="5" t="inlineStr">
        <is>
          <t xml:space="preserve">Sign-in is remembered, and logging out returns to the login screen. Force-closing the phone app and using the phone's Back button still need checking.</t>
        </is>
      </c>
      <c r="L13" s="5" t="inlineStr">
        <is>
          <t xml:space="preserve">Not Run</t>
        </is>
      </c>
      <c r="M13" s="5" t="inlineStr">
        <is>
          <t xml:space="preserve">Draft: Confirm this on a phone before marking it passed.</t>
        </is>
      </c>
    </row>
  </sheetData>
  <autoFilter ref="A1:M13"/>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67.5" hidden="false" customHeight="true" outlineLevel="0" collapsed="false">
      <c r="A2" s="7" t="s">
        <v>732</v>
      </c>
      <c r="B2" s="8" t="s">
        <v>733</v>
      </c>
      <c r="C2" s="8" t="s">
        <v>734</v>
      </c>
      <c r="D2" s="8" t="s">
        <v>52</v>
      </c>
      <c r="E2" s="8" t="s">
        <v>680</v>
      </c>
      <c r="F2" s="8" t="s">
        <v>735</v>
      </c>
      <c r="G2" s="8" t="s">
        <v>736</v>
      </c>
      <c r="H2" s="8" t="s">
        <v>737</v>
      </c>
      <c r="I2" s="8" t="s">
        <v>738</v>
      </c>
      <c r="J2" s="8" t="s">
        <v>156</v>
      </c>
      <c r="K2" s="5" t="inlineStr">
        <is>
          <t xml:space="preserve">An address can be saved without making it the default, but the form uses typed location fields. My Addresses opens the add form instead of a saved-address list.</t>
        </is>
      </c>
      <c r="L2" s="5" t="inlineStr">
        <is>
          <t xml:space="preserve">Not Run</t>
        </is>
      </c>
      <c r="M2" s="5" t="inlineStr">
        <is>
          <t xml:space="preserve">Draft: Show saved addresses and provide the location dropdowns described in the case.</t>
        </is>
      </c>
    </row>
    <row r="3" customFormat="false" ht="42" hidden="false" customHeight="true" outlineLevel="0" collapsed="false">
      <c r="A3" s="7" t="s">
        <v>739</v>
      </c>
      <c r="B3" s="8" t="s">
        <v>733</v>
      </c>
      <c r="C3" s="8" t="s">
        <v>740</v>
      </c>
      <c r="D3" s="8" t="s">
        <v>44</v>
      </c>
      <c r="E3" s="8" t="s">
        <v>680</v>
      </c>
      <c r="F3" s="8" t="s">
        <v>681</v>
      </c>
      <c r="G3" s="8" t="s">
        <v>741</v>
      </c>
      <c r="H3" s="8"/>
      <c r="I3" s="8" t="s">
        <v>742</v>
      </c>
      <c r="J3" s="8"/>
      <c r="K3" s="5" t="inlineStr">
        <is>
          <t xml:space="preserve">Province, city, and barangay are entered manually on the address form. There is no linked Region list that clears the selections below it.</t>
        </is>
      </c>
      <c r="L3" s="5" t="inlineStr">
        <is>
          <t xml:space="preserve">Not Run</t>
        </is>
      </c>
      <c r="M3" s="5" t="inlineStr">
        <is>
          <t xml:space="preserve">Draft: Add linked location dropdowns to avoid mismatched addresses.</t>
        </is>
      </c>
    </row>
    <row r="4" customFormat="false" ht="29.25" hidden="false" customHeight="true" outlineLevel="0" collapsed="false">
      <c r="A4" s="7" t="s">
        <v>743</v>
      </c>
      <c r="B4" s="8" t="s">
        <v>733</v>
      </c>
      <c r="C4" s="8" t="s">
        <v>744</v>
      </c>
      <c r="D4" s="8" t="s">
        <v>44</v>
      </c>
      <c r="E4" s="8" t="s">
        <v>680</v>
      </c>
      <c r="F4" s="8" t="s">
        <v>681</v>
      </c>
      <c r="G4" s="8" t="s">
        <v>745</v>
      </c>
      <c r="H4" s="8" t="s">
        <v>746</v>
      </c>
      <c r="I4" s="8" t="s">
        <v>747</v>
      </c>
      <c r="J4" s="8"/>
      <c r="K4" s="5" t="inlineStr">
        <is>
          <t xml:space="preserve">Empty recipient, phone, street, city, province, and barangay fields are required. There is no separate Region field on this form.</t>
        </is>
      </c>
      <c r="L4" s="5" t="inlineStr">
        <is>
          <t xml:space="preserve">Not Run</t>
        </is>
      </c>
      <c r="M4" s="5" t="inlineStr">
        <is>
          <t xml:space="preserve">Draft: Required-field checks are present, but the Region part differs from the test.</t>
        </is>
      </c>
    </row>
    <row r="5" customFormat="false" ht="54.75" hidden="false" customHeight="true" outlineLevel="0" collapsed="false">
      <c r="A5" s="7" t="s">
        <v>748</v>
      </c>
      <c r="B5" s="8" t="s">
        <v>733</v>
      </c>
      <c r="C5" s="8" t="s">
        <v>749</v>
      </c>
      <c r="D5" s="8" t="s">
        <v>44</v>
      </c>
      <c r="E5" s="8" t="s">
        <v>668</v>
      </c>
      <c r="F5" s="8" t="s">
        <v>681</v>
      </c>
      <c r="G5" s="8" t="s">
        <v>750</v>
      </c>
      <c r="H5" s="8" t="s">
        <v>751</v>
      </c>
      <c r="I5" s="8" t="s">
        <v>752</v>
      </c>
      <c r="J5" s="8"/>
      <c r="K5" s="5" t="inlineStr">
        <is>
          <t xml:space="preserve">The address form accepts a phone number without checking the required Philippine format. Short and long numbers are not specifically blocked.</t>
        </is>
      </c>
      <c r="L5" s="5" t="inlineStr">
        <is>
          <t xml:space="preserve">Not Run</t>
        </is>
      </c>
      <c r="M5" s="5" t="inlineStr">
        <is>
          <t xml:space="preserve">Draft: Accept only valid 09 or +63 mobile numbers.</t>
        </is>
      </c>
    </row>
    <row r="6" customFormat="false" ht="29.25" hidden="false" customHeight="true" outlineLevel="0" collapsed="false">
      <c r="A6" s="7" t="s">
        <v>753</v>
      </c>
      <c r="B6" s="8" t="s">
        <v>733</v>
      </c>
      <c r="C6" s="8" t="s">
        <v>754</v>
      </c>
      <c r="D6" s="8" t="s">
        <v>46</v>
      </c>
      <c r="E6" s="8" t="s">
        <v>755</v>
      </c>
      <c r="F6" s="8" t="s">
        <v>756</v>
      </c>
      <c r="G6" s="8" t="s">
        <v>757</v>
      </c>
      <c r="H6" s="8"/>
      <c r="I6" s="8" t="s">
        <v>758</v>
      </c>
      <c r="J6" s="8" t="s">
        <v>156</v>
      </c>
      <c r="K6" s="5" t="inlineStr">
        <is>
          <t xml:space="preserve">There is no ten-address limit, so adding an eleventh address is not specifically blocked.</t>
        </is>
      </c>
      <c r="L6" s="5" t="inlineStr">
        <is>
          <t xml:space="preserve">Not Run</t>
        </is>
      </c>
      <c r="M6" s="5" t="inlineStr">
        <is>
          <t xml:space="preserve">Draft: Add the address limit and explain it when the buyer reaches it.</t>
        </is>
      </c>
    </row>
    <row r="7" customFormat="false" ht="29.25" hidden="false" customHeight="true" outlineLevel="0" collapsed="false">
      <c r="A7" s="7" t="s">
        <v>759</v>
      </c>
      <c r="B7" s="8" t="s">
        <v>733</v>
      </c>
      <c r="C7" s="8" t="s">
        <v>760</v>
      </c>
      <c r="D7" s="8" t="s">
        <v>50</v>
      </c>
      <c r="E7" s="8" t="s">
        <v>668</v>
      </c>
      <c r="F7" s="8" t="s">
        <v>681</v>
      </c>
      <c r="G7" s="8" t="s">
        <v>761</v>
      </c>
      <c r="H7" s="8" t="s">
        <v>309</v>
      </c>
      <c r="I7" s="8" t="s">
        <v>762</v>
      </c>
      <c r="J7" s="8" t="s">
        <v>156</v>
      </c>
      <c r="K7" s="5" t="inlineStr">
        <is>
          <t xml:space="preserve">A new address can be marked as default, and checkout prefers it. There is no saved-address list for changing an existing address to default.</t>
        </is>
      </c>
      <c r="L7" s="5" t="inlineStr">
        <is>
          <t xml:space="preserve">Not Run</t>
        </is>
      </c>
      <c r="M7" s="5" t="inlineStr">
        <is>
          <t xml:space="preserve">Draft: Let buyers choose the default from their saved addresses.</t>
        </is>
      </c>
    </row>
    <row r="8" customFormat="false" ht="42" hidden="false" customHeight="true" outlineLevel="0" collapsed="false">
      <c r="A8" s="7" t="s">
        <v>763</v>
      </c>
      <c r="B8" s="8" t="s">
        <v>733</v>
      </c>
      <c r="C8" s="8" t="s">
        <v>764</v>
      </c>
      <c r="D8" s="8" t="s">
        <v>50</v>
      </c>
      <c r="E8" s="8" t="s">
        <v>680</v>
      </c>
      <c r="F8" s="8" t="s">
        <v>765</v>
      </c>
      <c r="G8" s="8" t="s">
        <v>766</v>
      </c>
      <c r="H8" s="8"/>
      <c r="I8" s="8" t="s">
        <v>767</v>
      </c>
      <c r="J8" s="8" t="s">
        <v>156</v>
      </c>
      <c r="K8" s="5" t="inlineStr">
        <is>
          <t xml:space="preserve">The app has no delete option in a saved-address list. The address-delete action also does not require choosing a new default first.</t>
        </is>
      </c>
      <c r="L8" s="5" t="inlineStr">
        <is>
          <t xml:space="preserve">Not Run</t>
        </is>
      </c>
      <c r="M8" s="5" t="inlineStr">
        <is>
          <t xml:space="preserve">Draft: Keep one default address and make address management available.</t>
        </is>
      </c>
    </row>
    <row r="9" customFormat="false" ht="54.75" hidden="false" customHeight="true" outlineLevel="0" collapsed="false">
      <c r="A9" s="7" t="s">
        <v>768</v>
      </c>
      <c r="B9" s="8" t="s">
        <v>733</v>
      </c>
      <c r="C9" s="8" t="s">
        <v>769</v>
      </c>
      <c r="D9" s="8" t="s">
        <v>54</v>
      </c>
      <c r="E9" s="8" t="s">
        <v>680</v>
      </c>
      <c r="F9" s="8" t="s">
        <v>770</v>
      </c>
      <c r="G9" s="8" t="s">
        <v>771</v>
      </c>
      <c r="H9" s="8" t="s">
        <v>772</v>
      </c>
      <c r="I9" s="8" t="s">
        <v>773</v>
      </c>
      <c r="J9" s="8" t="s">
        <v>156</v>
      </c>
      <c r="K9" s="5" t="inlineStr">
        <is>
          <t xml:space="preserve">Existing orders refer to the saved address, so changing that address can change the order's address details too.</t>
        </is>
      </c>
      <c r="L9" s="5" t="inlineStr">
        <is>
          <t xml:space="preserve">Not Run</t>
        </is>
      </c>
      <c r="M9" s="5" t="inlineStr">
        <is>
          <t xml:space="preserve">Draft: Keep the original delivery address with each order.</t>
        </is>
      </c>
    </row>
    <row r="10" customFormat="false" ht="42" hidden="false" customHeight="true" outlineLevel="0" collapsed="false">
      <c r="A10" s="7" t="s">
        <v>774</v>
      </c>
      <c r="B10" s="8" t="s">
        <v>733</v>
      </c>
      <c r="C10" s="8" t="s">
        <v>775</v>
      </c>
      <c r="D10" s="8" t="s">
        <v>54</v>
      </c>
      <c r="E10" s="8" t="s">
        <v>680</v>
      </c>
      <c r="F10" s="8" t="s">
        <v>681</v>
      </c>
      <c r="G10" s="8" t="s">
        <v>776</v>
      </c>
      <c r="H10" s="8"/>
      <c r="I10" s="8" t="s">
        <v>777</v>
      </c>
      <c r="J10" s="8" t="s">
        <v>778</v>
      </c>
      <c r="K10" s="5" t="inlineStr">
        <is>
          <t xml:space="preserve">Address changes are restricted to the signed-in buyer's own addresses. Another buyer's address is not included in that lookup.</t>
        </is>
      </c>
      <c r="L10" s="5" t="inlineStr">
        <is>
          <t xml:space="preserve">Not Run</t>
        </is>
      </c>
      <c r="M10" s="5" t="inlineStr">
        <is>
          <t xml:space="preserve">Draft: Confirm with two test accounts before marking it passed.</t>
        </is>
      </c>
    </row>
    <row r="11" customFormat="false" ht="67.5" hidden="false" customHeight="true" outlineLevel="0" collapsed="false">
      <c r="A11" s="7" t="s">
        <v>779</v>
      </c>
      <c r="B11" s="8" t="s">
        <v>733</v>
      </c>
      <c r="C11" s="8" t="s">
        <v>780</v>
      </c>
      <c r="D11" s="8" t="s">
        <v>44</v>
      </c>
      <c r="E11" s="8" t="s">
        <v>755</v>
      </c>
      <c r="F11" s="8" t="s">
        <v>781</v>
      </c>
      <c r="G11" s="8" t="s">
        <v>782</v>
      </c>
      <c r="H11" s="8"/>
      <c r="I11" s="8" t="s">
        <v>783</v>
      </c>
      <c r="J11" s="8" t="s">
        <v>207</v>
      </c>
      <c r="K11" s="5" t="inlineStr">
        <is>
          <t xml:space="preserve">There is no Use My Location option on the address form. The buyer needs to enter the address manually.</t>
        </is>
      </c>
      <c r="L11" s="5" t="inlineStr">
        <is>
          <t xml:space="preserve">Not Run</t>
        </is>
      </c>
      <c r="M11" s="5" t="inlineStr">
        <is>
          <t xml:space="preserve">Not supported.</t>
        </is>
      </c>
    </row>
    <row r="12" customFormat="false" ht="42" hidden="false" customHeight="true" outlineLevel="0" collapsed="false">
      <c r="A12" s="7" t="s">
        <v>784</v>
      </c>
      <c r="B12" s="8" t="s">
        <v>733</v>
      </c>
      <c r="C12" s="8" t="s">
        <v>785</v>
      </c>
      <c r="D12" s="8" t="s">
        <v>54</v>
      </c>
      <c r="E12" s="8" t="s">
        <v>755</v>
      </c>
      <c r="F12" s="8" t="s">
        <v>786</v>
      </c>
      <c r="G12" s="8" t="s">
        <v>787</v>
      </c>
      <c r="H12" s="8"/>
      <c r="I12" s="8" t="s">
        <v>788</v>
      </c>
      <c r="J12" s="8" t="s">
        <v>789</v>
      </c>
      <c r="K12" s="5" t="inlineStr">
        <is>
          <t xml:space="preserve">Phone is set up for a phone keyboard, while recipient and street use text input. Reaching Save with the phone keyboard open still needs checking.</t>
        </is>
      </c>
      <c r="L12" s="5" t="inlineStr">
        <is>
          <t xml:space="preserve">Not Run</t>
        </is>
      </c>
      <c r="M12" s="5" t="inlineStr">
        <is>
          <t xml:space="preserve">Draft: Check the keyboard and Save button on a phone.</t>
        </is>
      </c>
    </row>
  </sheetData>
  <autoFilter ref="A1:M12"/>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42" hidden="false" customHeight="true" outlineLevel="0" collapsed="false">
      <c r="A2" s="7" t="s">
        <v>790</v>
      </c>
      <c r="B2" s="8" t="s">
        <v>791</v>
      </c>
      <c r="C2" s="8" t="s">
        <v>792</v>
      </c>
      <c r="D2" s="8" t="s">
        <v>52</v>
      </c>
      <c r="E2" s="8" t="s">
        <v>668</v>
      </c>
      <c r="F2" s="8" t="s">
        <v>681</v>
      </c>
      <c r="G2" s="8" t="s">
        <v>793</v>
      </c>
      <c r="H2" s="8"/>
      <c r="I2" s="8" t="s">
        <v>794</v>
      </c>
      <c r="J2" s="8"/>
      <c r="K2" s="5" t="inlineStr">
        <is>
          <t xml:space="preserve">Opening a category filters the listing to active products in that category. The basket should appear when its test record is available.</t>
        </is>
      </c>
      <c r="L2" s="5" t="inlineStr">
        <is>
          <t xml:space="preserve">Not Run</t>
        </is>
      </c>
      <c r="M2" s="5" t="inlineStr">
        <is>
          <t xml:space="preserve">Draft: Confirm the complete result list using the prepared test products.</t>
        </is>
      </c>
    </row>
    <row r="3" customFormat="false" ht="29.25" hidden="false" customHeight="true" outlineLevel="0" collapsed="false">
      <c r="A3" s="7" t="s">
        <v>795</v>
      </c>
      <c r="B3" s="8" t="s">
        <v>791</v>
      </c>
      <c r="C3" s="8" t="s">
        <v>796</v>
      </c>
      <c r="D3" s="8" t="s">
        <v>52</v>
      </c>
      <c r="E3" s="8" t="s">
        <v>668</v>
      </c>
      <c r="F3" s="8" t="s">
        <v>681</v>
      </c>
      <c r="G3" s="8" t="s">
        <v>797</v>
      </c>
      <c r="H3" s="8"/>
      <c r="I3" s="8" t="s">
        <v>798</v>
      </c>
      <c r="J3" s="8"/>
      <c r="K3" s="5" t="inlineStr">
        <is>
          <t xml:space="preserve">The store page has products, search, sorting, and reviews, but no Home Decor or Lamps category tree.</t>
        </is>
      </c>
      <c r="L3" s="5" t="inlineStr">
        <is>
          <t xml:space="preserve">Not Run</t>
        </is>
      </c>
      <c r="M3" s="5" t="inlineStr">
        <is>
          <t xml:space="preserve">Draft: Add store categories so buyers can browse by subcategory.</t>
        </is>
      </c>
    </row>
    <row r="4" customFormat="false" ht="54.75" hidden="false" customHeight="true" outlineLevel="0" collapsed="false">
      <c r="A4" s="7" t="s">
        <v>799</v>
      </c>
      <c r="B4" s="8" t="s">
        <v>791</v>
      </c>
      <c r="C4" s="8" t="s">
        <v>800</v>
      </c>
      <c r="D4" s="8" t="s">
        <v>44</v>
      </c>
      <c r="E4" s="8" t="s">
        <v>680</v>
      </c>
      <c r="F4" s="8" t="s">
        <v>681</v>
      </c>
      <c r="G4" s="8" t="s">
        <v>801</v>
      </c>
      <c r="H4" s="8" t="s">
        <v>802</v>
      </c>
      <c r="I4" s="8" t="s">
        <v>803</v>
      </c>
      <c r="J4" s="8"/>
      <c r="K4" s="5" t="inlineStr">
        <is>
          <t xml:space="preserve">Search supports full names and partial words, ignores spaces at either end, and treats uppercase and lowercase searches alike.</t>
        </is>
      </c>
      <c r="L4" s="5" t="inlineStr">
        <is>
          <t xml:space="preserve">Not Run</t>
        </is>
      </c>
      <c r="M4" s="5" t="inlineStr">
        <is>
          <t xml:space="preserve">Draft: Confirm all four searches return the basket.</t>
        </is>
      </c>
    </row>
    <row r="5" customFormat="false" ht="42" hidden="false" customHeight="true" outlineLevel="0" collapsed="false">
      <c r="A5" s="7" t="s">
        <v>804</v>
      </c>
      <c r="B5" s="8" t="s">
        <v>791</v>
      </c>
      <c r="C5" s="8" t="s">
        <v>805</v>
      </c>
      <c r="D5" s="8" t="s">
        <v>44</v>
      </c>
      <c r="E5" s="8" t="s">
        <v>668</v>
      </c>
      <c r="F5" s="8" t="s">
        <v>681</v>
      </c>
      <c r="G5" s="8" t="s">
        <v>801</v>
      </c>
      <c r="H5" s="8" t="s">
        <v>806</v>
      </c>
      <c r="I5" s="8" t="s">
        <v>807</v>
      </c>
      <c r="J5" s="8"/>
      <c r="K5" s="5" t="inlineStr">
        <is>
          <t xml:space="preserve">An unmatched search shows a no-results message. The misspelled search does not offer a corrected spelling or suggestion.</t>
        </is>
      </c>
      <c r="L5" s="5" t="inlineStr">
        <is>
          <t xml:space="preserve">Not Run</t>
        </is>
      </c>
      <c r="M5" s="5" t="inlineStr">
        <is>
          <t xml:space="preserve">Draft: Add a useful suggestion when the search contains a typo.</t>
        </is>
      </c>
    </row>
    <row r="6" customFormat="false" ht="54.75" hidden="false" customHeight="true" outlineLevel="0" collapsed="false">
      <c r="A6" s="7" t="s">
        <v>808</v>
      </c>
      <c r="B6" s="8" t="s">
        <v>791</v>
      </c>
      <c r="C6" s="8" t="s">
        <v>809</v>
      </c>
      <c r="D6" s="8" t="s">
        <v>54</v>
      </c>
      <c r="E6" s="8" t="s">
        <v>680</v>
      </c>
      <c r="F6" s="8" t="s">
        <v>681</v>
      </c>
      <c r="G6" s="8" t="s">
        <v>810</v>
      </c>
      <c r="H6" s="8" t="s">
        <v>811</v>
      </c>
      <c r="I6" s="8" t="s">
        <v>812</v>
      </c>
      <c r="J6" s="8"/>
      <c r="K6" s="5" t="inlineStr">
        <is>
          <t xml:space="preserve">Search text is treated as text, but a percent sign can match many products instead of being treated literally.</t>
        </is>
      </c>
      <c r="L6" s="5" t="inlineStr">
        <is>
          <t xml:space="preserve">Not Run</t>
        </is>
      </c>
      <c r="M6" s="5" t="inlineStr">
        <is>
          <t xml:space="preserve">Draft: Handle special search characters without broadening the results unexpectedly.</t>
        </is>
      </c>
    </row>
    <row r="7" customFormat="false" ht="29.25" hidden="false" customHeight="true" outlineLevel="0" collapsed="false">
      <c r="A7" s="7" t="s">
        <v>813</v>
      </c>
      <c r="B7" s="8" t="s">
        <v>791</v>
      </c>
      <c r="C7" s="8" t="s">
        <v>814</v>
      </c>
      <c r="D7" s="8" t="s">
        <v>54</v>
      </c>
      <c r="E7" s="8" t="s">
        <v>755</v>
      </c>
      <c r="F7" s="8" t="s">
        <v>681</v>
      </c>
      <c r="G7" s="8" t="s">
        <v>815</v>
      </c>
      <c r="H7" s="8"/>
      <c r="I7" s="8" t="s">
        <v>816</v>
      </c>
      <c r="J7" s="8"/>
      <c r="K7" s="5" t="inlineStr">
        <is>
          <t xml:space="preserve">Searching with an empty box or spaces returns the normal product list.</t>
        </is>
      </c>
      <c r="L7" s="5" t="inlineStr">
        <is>
          <t xml:space="preserve">Not Run</t>
        </is>
      </c>
      <c r="M7" s="5" t="inlineStr">
        <is>
          <t xml:space="preserve">Draft: The planned behaviour matches; confirm it in the running app.</t>
        </is>
      </c>
    </row>
    <row r="8" customFormat="false" ht="67.5" hidden="false" customHeight="true" outlineLevel="0" collapsed="false">
      <c r="A8" s="7" t="s">
        <v>817</v>
      </c>
      <c r="B8" s="8" t="s">
        <v>791</v>
      </c>
      <c r="C8" s="8" t="s">
        <v>818</v>
      </c>
      <c r="D8" s="8" t="s">
        <v>46</v>
      </c>
      <c r="E8" s="8" t="s">
        <v>680</v>
      </c>
      <c r="F8" s="8" t="s">
        <v>681</v>
      </c>
      <c r="G8" s="8" t="s">
        <v>819</v>
      </c>
      <c r="H8" s="8" t="s">
        <v>820</v>
      </c>
      <c r="I8" s="8" t="s">
        <v>821</v>
      </c>
      <c r="J8" s="8"/>
      <c r="K8" s="5" t="inlineStr">
        <is>
          <t xml:space="preserve">There is an Under ₱500 shortcut, but no minimum-and-maximum price range to enter the listed amounts.</t>
        </is>
      </c>
      <c r="L8" s="5" t="inlineStr">
        <is>
          <t xml:space="preserve">Not Run</t>
        </is>
      </c>
      <c r="M8" s="5" t="inlineStr">
        <is>
          <t xml:space="preserve">Draft: Add a price-range filter and reject invalid ranges.</t>
        </is>
      </c>
    </row>
    <row r="9" customFormat="false" ht="42" hidden="false" customHeight="true" outlineLevel="0" collapsed="false">
      <c r="A9" s="7" t="s">
        <v>822</v>
      </c>
      <c r="B9" s="8" t="s">
        <v>791</v>
      </c>
      <c r="C9" s="8" t="s">
        <v>823</v>
      </c>
      <c r="D9" s="8" t="s">
        <v>48</v>
      </c>
      <c r="E9" s="8" t="s">
        <v>668</v>
      </c>
      <c r="F9" s="8" t="s">
        <v>681</v>
      </c>
      <c r="G9" s="8" t="s">
        <v>824</v>
      </c>
      <c r="H9" s="8"/>
      <c r="I9" s="8" t="s">
        <v>825</v>
      </c>
      <c r="J9" s="8"/>
      <c r="K9" s="5" t="inlineStr">
        <is>
          <t xml:space="preserve">The available shortcuts do not combine rating, category, and seller location as required in this case.</t>
        </is>
      </c>
      <c r="L9" s="5" t="inlineStr">
        <is>
          <t xml:space="preserve">Not Run</t>
        </is>
      </c>
      <c r="M9" s="5" t="inlineStr">
        <is>
          <t xml:space="preserve">Draft: Keep all selected filters active together and clear them individually.</t>
        </is>
      </c>
    </row>
    <row r="10" customFormat="false" ht="67.5" hidden="false" customHeight="true" outlineLevel="0" collapsed="false">
      <c r="A10" s="7" t="s">
        <v>826</v>
      </c>
      <c r="B10" s="8" t="s">
        <v>791</v>
      </c>
      <c r="C10" s="8" t="s">
        <v>827</v>
      </c>
      <c r="D10" s="8" t="s">
        <v>44</v>
      </c>
      <c r="E10" s="8" t="s">
        <v>668</v>
      </c>
      <c r="F10" s="8" t="s">
        <v>681</v>
      </c>
      <c r="G10" s="8" t="s">
        <v>828</v>
      </c>
      <c r="H10" s="8"/>
      <c r="I10" s="8" t="s">
        <v>829</v>
      </c>
      <c r="J10" s="8"/>
      <c r="K10" s="5" t="inlineStr">
        <is>
          <t xml:space="preserve">Price and rating sorting are available, but there is no best-selling sort or control to keep loading more results.</t>
        </is>
      </c>
      <c r="L10" s="5" t="inlineStr">
        <is>
          <t xml:space="preserve">Not Run</t>
        </is>
      </c>
      <c r="M10" s="5" t="inlineStr">
        <is>
          <t xml:space="preserve">Draft: Complete the sort options and make the remaining products accessible.</t>
        </is>
      </c>
    </row>
    <row r="11" customFormat="false" ht="54.75" hidden="false" customHeight="true" outlineLevel="0" collapsed="false">
      <c r="A11" s="7" t="s">
        <v>830</v>
      </c>
      <c r="B11" s="8" t="s">
        <v>791</v>
      </c>
      <c r="C11" s="8" t="s">
        <v>831</v>
      </c>
      <c r="D11" s="8" t="s">
        <v>54</v>
      </c>
      <c r="E11" s="8" t="s">
        <v>680</v>
      </c>
      <c r="F11" s="8" t="s">
        <v>832</v>
      </c>
      <c r="G11" s="8" t="s">
        <v>833</v>
      </c>
      <c r="H11" s="8"/>
      <c r="I11" s="8" t="s">
        <v>834</v>
      </c>
      <c r="J11" s="8" t="s">
        <v>222</v>
      </c>
      <c r="K11" s="5" t="inlineStr">
        <is>
          <t xml:space="preserve">Inactive and draft products are excluded from the normal listing and product details. Deleted-product links still need checking with prepared test records.</t>
        </is>
      </c>
      <c r="L11" s="5" t="inlineStr">
        <is>
          <t xml:space="preserve">Not Run</t>
        </is>
      </c>
      <c r="M11" s="5" t="inlineStr">
        <is>
          <t xml:space="preserve">Draft: Confirm unavailable links show a clear message without exposing the product.</t>
        </is>
      </c>
    </row>
    <row r="12" customFormat="false" ht="29.25" hidden="false" customHeight="true" outlineLevel="0" collapsed="false">
      <c r="A12" s="7" t="s">
        <v>835</v>
      </c>
      <c r="B12" s="8" t="s">
        <v>791</v>
      </c>
      <c r="C12" s="8" t="s">
        <v>836</v>
      </c>
      <c r="D12" s="8" t="s">
        <v>44</v>
      </c>
      <c r="E12" s="8" t="s">
        <v>755</v>
      </c>
      <c r="F12" s="8" t="s">
        <v>837</v>
      </c>
      <c r="G12" s="8" t="s">
        <v>838</v>
      </c>
      <c r="H12" s="8"/>
      <c r="I12" s="8" t="s">
        <v>839</v>
      </c>
      <c r="J12" s="8" t="s">
        <v>120</v>
      </c>
      <c r="K12" s="5" t="inlineStr">
        <is>
          <t xml:space="preserve">The buyer screens do not show an On Vacation notice or a purchase block for a vacation store.</t>
        </is>
      </c>
      <c r="L12" s="5" t="inlineStr">
        <is>
          <t xml:space="preserve">Not Run</t>
        </is>
      </c>
      <c r="M12" s="5" t="inlineStr">
        <is>
          <t xml:space="preserve">Draft: Tell buyers when a store is away and block purchases as required.</t>
        </is>
      </c>
    </row>
    <row r="13" customFormat="false" ht="42" hidden="false" customHeight="true" outlineLevel="0" collapsed="false">
      <c r="A13" s="7" t="s">
        <v>840</v>
      </c>
      <c r="B13" s="8" t="s">
        <v>791</v>
      </c>
      <c r="C13" s="8" t="s">
        <v>841</v>
      </c>
      <c r="D13" s="8" t="s">
        <v>52</v>
      </c>
      <c r="E13" s="8" t="s">
        <v>755</v>
      </c>
      <c r="F13" s="8" t="s">
        <v>681</v>
      </c>
      <c r="G13" s="8" t="s">
        <v>842</v>
      </c>
      <c r="H13" s="8" t="s">
        <v>843</v>
      </c>
      <c r="I13" s="8" t="s">
        <v>844</v>
      </c>
      <c r="J13" s="8" t="s">
        <v>195</v>
      </c>
      <c r="K13" s="5" t="inlineStr">
        <is>
          <t xml:space="preserve">The keyboard Search action runs the search. Pulling to refresh on Home reloads the general listing rather than keeping the same search results.</t>
        </is>
      </c>
      <c r="L13" s="5" t="inlineStr">
        <is>
          <t xml:space="preserve">Not Run</t>
        </is>
      </c>
      <c r="M13" s="5" t="inlineStr">
        <is>
          <t xml:space="preserve">Draft: Keep the search term and filters when refreshing.</t>
        </is>
      </c>
    </row>
    <row r="14" customFormat="false" ht="54.75" hidden="false" customHeight="true" outlineLevel="0" collapsed="false">
      <c r="A14" s="7" t="s">
        <v>845</v>
      </c>
      <c r="B14" s="8" t="s">
        <v>791</v>
      </c>
      <c r="C14" s="8" t="s">
        <v>846</v>
      </c>
      <c r="D14" s="8" t="s">
        <v>54</v>
      </c>
      <c r="E14" s="8" t="s">
        <v>668</v>
      </c>
      <c r="F14" s="8" t="s">
        <v>681</v>
      </c>
      <c r="G14" s="8" t="s">
        <v>847</v>
      </c>
      <c r="H14" s="8" t="s">
        <v>843</v>
      </c>
      <c r="I14" s="8" t="s">
        <v>848</v>
      </c>
      <c r="J14" s="8" t="s">
        <v>204</v>
      </c>
      <c r="K14" s="5" t="inlineStr">
        <is>
          <t xml:space="preserve">A failed search shows an error, but there is no dedicated offline message with a Retry button. Reconnecting and searching again still need checking.</t>
        </is>
      </c>
      <c r="L14" s="5" t="inlineStr">
        <is>
          <t xml:space="preserve">Not Run</t>
        </is>
      </c>
      <c r="M14" s="5" t="inlineStr">
        <is>
          <t xml:space="preserve">Draft: Make the connection problem clear and provide an easy retry.</t>
        </is>
      </c>
    </row>
  </sheetData>
  <autoFilter ref="A1:M14"/>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93" hidden="false" customHeight="true" outlineLevel="0" collapsed="false">
      <c r="A2" s="7" t="s">
        <v>849</v>
      </c>
      <c r="B2" s="8" t="s">
        <v>850</v>
      </c>
      <c r="C2" s="8" t="s">
        <v>851</v>
      </c>
      <c r="D2" s="8" t="s">
        <v>48</v>
      </c>
      <c r="E2" s="8" t="s">
        <v>680</v>
      </c>
      <c r="F2" s="8" t="s">
        <v>852</v>
      </c>
      <c r="G2" s="8" t="s">
        <v>853</v>
      </c>
      <c r="H2" s="8"/>
      <c r="I2" s="8" t="s">
        <v>854</v>
      </c>
      <c r="J2" s="8"/>
      <c r="K2" s="5" t="inlineStr">
        <is>
          <t xml:space="preserve">An item can be added without choosing a variation. The page also keeps only one selected option instead of requiring both colour and size.</t>
        </is>
      </c>
      <c r="L2" s="5" t="inlineStr">
        <is>
          <t xml:space="preserve">Not Run</t>
        </is>
      </c>
      <c r="M2" s="5" t="inlineStr">
        <is>
          <t xml:space="preserve">Draft: Require every variation choice before adding or buying the item.</t>
        </is>
      </c>
    </row>
    <row r="3" customFormat="false" ht="29.25" hidden="false" customHeight="true" outlineLevel="0" collapsed="false">
      <c r="A3" s="7" t="s">
        <v>855</v>
      </c>
      <c r="B3" s="8" t="s">
        <v>850</v>
      </c>
      <c r="C3" s="8" t="s">
        <v>856</v>
      </c>
      <c r="D3" s="8" t="s">
        <v>44</v>
      </c>
      <c r="E3" s="8" t="s">
        <v>680</v>
      </c>
      <c r="F3" s="8" t="s">
        <v>681</v>
      </c>
      <c r="G3" s="8" t="s">
        <v>857</v>
      </c>
      <c r="H3" s="8" t="s">
        <v>328</v>
      </c>
      <c r="I3" s="8" t="s">
        <v>858</v>
      </c>
      <c r="J3" s="8"/>
      <c r="K3" s="5" t="inlineStr">
        <is>
          <t xml:space="preserve">Selecting a variation changes the displayed price. The available-stock text and photo do not change with that selection.</t>
        </is>
      </c>
      <c r="L3" s="5" t="inlineStr">
        <is>
          <t xml:space="preserve">Not Run</t>
        </is>
      </c>
      <c r="M3" s="5" t="inlineStr">
        <is>
          <t xml:space="preserve">Draft: Show the selected variation's own stock and image.</t>
        </is>
      </c>
    </row>
    <row r="4" customFormat="false" ht="29.25" hidden="false" customHeight="true" outlineLevel="0" collapsed="false">
      <c r="A4" s="7" t="s">
        <v>859</v>
      </c>
      <c r="B4" s="8" t="s">
        <v>850</v>
      </c>
      <c r="C4" s="8" t="s">
        <v>860</v>
      </c>
      <c r="D4" s="8" t="s">
        <v>44</v>
      </c>
      <c r="E4" s="8" t="s">
        <v>680</v>
      </c>
      <c r="F4" s="8" t="s">
        <v>681</v>
      </c>
      <c r="G4" s="8" t="s">
        <v>861</v>
      </c>
      <c r="H4" s="8" t="s">
        <v>862</v>
      </c>
      <c r="I4" s="8" t="s">
        <v>863</v>
      </c>
      <c r="J4" s="8"/>
      <c r="K4" s="5" t="inlineStr">
        <is>
          <t xml:space="preserve">An out-of-stock variation can still be selected. The stock warning comes when the buyer tries to add it to the cart.</t>
        </is>
      </c>
      <c r="L4" s="5" t="inlineStr">
        <is>
          <t xml:space="preserve">Not Run</t>
        </is>
      </c>
      <c r="M4" s="5" t="inlineStr">
        <is>
          <t xml:space="preserve">Draft: Disable sold-out choices before the buyer tries to add them.</t>
        </is>
      </c>
    </row>
    <row r="5" customFormat="false" ht="93" hidden="false" customHeight="true" outlineLevel="0" collapsed="false">
      <c r="A5" s="7" t="s">
        <v>864</v>
      </c>
      <c r="B5" s="8" t="s">
        <v>850</v>
      </c>
      <c r="C5" s="8" t="s">
        <v>865</v>
      </c>
      <c r="D5" s="8" t="s">
        <v>46</v>
      </c>
      <c r="E5" s="8" t="s">
        <v>680</v>
      </c>
      <c r="F5" s="8" t="s">
        <v>866</v>
      </c>
      <c r="G5" s="8" t="s">
        <v>867</v>
      </c>
      <c r="H5" s="8" t="s">
        <v>868</v>
      </c>
      <c r="I5" s="8" t="s">
        <v>869</v>
      </c>
      <c r="J5" s="8" t="s">
        <v>117</v>
      </c>
      <c r="K5" s="5" t="inlineStr">
        <is>
          <t xml:space="preserve">The quantity starts at one, and adding more than the available stock is rejected. Quantity is changed with buttons rather than a typing field.</t>
        </is>
      </c>
      <c r="L5" s="5" t="inlineStr">
        <is>
          <t xml:space="preserve">Not Run</t>
        </is>
      </c>
      <c r="M5" s="5" t="inlineStr">
        <is>
          <t xml:space="preserve">Draft: Confirm the listed boundaries; variation limits also need checking.</t>
        </is>
      </c>
    </row>
    <row r="6" customFormat="false" ht="29.25" hidden="false" customHeight="true" outlineLevel="0" collapsed="false">
      <c r="A6" s="7" t="s">
        <v>870</v>
      </c>
      <c r="B6" s="8" t="s">
        <v>850</v>
      </c>
      <c r="C6" s="8" t="s">
        <v>871</v>
      </c>
      <c r="D6" s="8" t="s">
        <v>46</v>
      </c>
      <c r="E6" s="8" t="s">
        <v>680</v>
      </c>
      <c r="F6" s="8" t="s">
        <v>872</v>
      </c>
      <c r="G6" s="8" t="s">
        <v>873</v>
      </c>
      <c r="H6" s="8" t="s">
        <v>874</v>
      </c>
      <c r="I6" s="8" t="s">
        <v>875</v>
      </c>
      <c r="J6" s="8"/>
      <c r="K6" s="5" t="inlineStr">
        <is>
          <t xml:space="preserve">There is no purchase limit that remembers how many units the buyer already bought in earlier orders.</t>
        </is>
      </c>
      <c r="L6" s="5" t="inlineStr">
        <is>
          <t xml:space="preserve">Not Run</t>
        </is>
      </c>
      <c r="M6" s="5" t="inlineStr">
        <is>
          <t xml:space="preserve">Draft: Enforce the per-buyer limit across separate orders.</t>
        </is>
      </c>
    </row>
    <row r="7" customFormat="false" ht="42" hidden="false" customHeight="true" outlineLevel="0" collapsed="false">
      <c r="A7" s="7" t="s">
        <v>876</v>
      </c>
      <c r="B7" s="8" t="s">
        <v>850</v>
      </c>
      <c r="C7" s="8" t="s">
        <v>877</v>
      </c>
      <c r="D7" s="8" t="s">
        <v>44</v>
      </c>
      <c r="E7" s="8" t="s">
        <v>668</v>
      </c>
      <c r="F7" s="8" t="s">
        <v>878</v>
      </c>
      <c r="G7" s="8" t="s">
        <v>879</v>
      </c>
      <c r="H7" s="8"/>
      <c r="I7" s="8" t="s">
        <v>880</v>
      </c>
      <c r="J7" s="8" t="s">
        <v>81</v>
      </c>
      <c r="K7" s="5" t="inlineStr">
        <is>
          <t xml:space="preserve">The product page does not show a flash-sale countdown, remaining flash units, or a Claim button for the voucher.</t>
        </is>
      </c>
      <c r="L7" s="5" t="inlineStr">
        <is>
          <t xml:space="preserve">Not Run</t>
        </is>
      </c>
      <c r="M7" s="5" t="inlineStr">
        <is>
          <t xml:space="preserve">Draft: Show the sale details buyers need before purchasing.</t>
        </is>
      </c>
    </row>
    <row r="8" customFormat="false" ht="42" hidden="false" customHeight="true" outlineLevel="0" collapsed="false">
      <c r="A8" s="7" t="s">
        <v>881</v>
      </c>
      <c r="B8" s="8" t="s">
        <v>850</v>
      </c>
      <c r="C8" s="8" t="s">
        <v>882</v>
      </c>
      <c r="D8" s="8" t="s">
        <v>52</v>
      </c>
      <c r="E8" s="8" t="s">
        <v>668</v>
      </c>
      <c r="F8" s="8" t="s">
        <v>883</v>
      </c>
      <c r="G8" s="8" t="s">
        <v>884</v>
      </c>
      <c r="H8" s="8"/>
      <c r="I8" s="8" t="s">
        <v>885</v>
      </c>
      <c r="J8" s="8"/>
      <c r="K8" s="5" t="inlineStr">
        <is>
          <t xml:space="preserve">Buy Now adds the product to the existing cart and opens that cart. Other items already in the cart are still included.</t>
        </is>
      </c>
      <c r="L8" s="5" t="inlineStr">
        <is>
          <t xml:space="preserve">Not Run</t>
        </is>
      </c>
      <c r="M8" s="5" t="inlineStr">
        <is>
          <t xml:space="preserve">Draft: Open checkout for only the item chosen with Buy Now.</t>
        </is>
      </c>
    </row>
    <row r="9" customFormat="false" ht="42" hidden="false" customHeight="true" outlineLevel="0" collapsed="false">
      <c r="A9" s="7" t="s">
        <v>886</v>
      </c>
      <c r="B9" s="8" t="s">
        <v>850</v>
      </c>
      <c r="C9" s="8" t="s">
        <v>887</v>
      </c>
      <c r="D9" s="8" t="s">
        <v>54</v>
      </c>
      <c r="E9" s="8" t="s">
        <v>668</v>
      </c>
      <c r="F9" s="8" t="s">
        <v>681</v>
      </c>
      <c r="G9" s="8" t="s">
        <v>888</v>
      </c>
      <c r="H9" s="8"/>
      <c r="I9" s="8" t="s">
        <v>889</v>
      </c>
      <c r="J9" s="8" t="s">
        <v>222</v>
      </c>
      <c r="K9" s="5" t="inlineStr">
        <is>
          <t xml:space="preserve">An unavailable product has a Product Not Found state, and inactive products are not returned as available items.</t>
        </is>
      </c>
      <c r="L9" s="5" t="inlineStr">
        <is>
          <t xml:space="preserve">Not Run</t>
        </is>
      </c>
      <c r="M9" s="5" t="inlineStr">
        <is>
          <t xml:space="preserve">Draft: Confirm the deleted and inactive links both reach this state.</t>
        </is>
      </c>
    </row>
    <row r="10" customFormat="false" ht="54.75" hidden="false" customHeight="true" outlineLevel="0" collapsed="false">
      <c r="A10" s="7" t="s">
        <v>890</v>
      </c>
      <c r="B10" s="8" t="s">
        <v>850</v>
      </c>
      <c r="C10" s="8" t="s">
        <v>891</v>
      </c>
      <c r="D10" s="8" t="s">
        <v>52</v>
      </c>
      <c r="E10" s="8" t="s">
        <v>755</v>
      </c>
      <c r="F10" s="8" t="s">
        <v>892</v>
      </c>
      <c r="G10" s="8" t="s">
        <v>893</v>
      </c>
      <c r="H10" s="8" t="s">
        <v>328</v>
      </c>
      <c r="I10" s="8" t="s">
        <v>894</v>
      </c>
      <c r="J10" s="8" t="s">
        <v>225</v>
      </c>
      <c r="K10" s="5" t="inlineStr">
        <is>
          <t xml:space="preserve">The gallery supports swiping, a position indicator, and a larger zoomable view. Gesture behaviour and keeping the variation selected still need checking.</t>
        </is>
      </c>
      <c r="L10" s="5" t="inlineStr">
        <is>
          <t xml:space="preserve">Not Run</t>
        </is>
      </c>
      <c r="M10" s="5" t="inlineStr">
        <is>
          <t xml:space="preserve">Draft: Confirm swiping and zooming on a phone.</t>
        </is>
      </c>
    </row>
    <row r="11" customFormat="false" ht="67.5" hidden="false" customHeight="true" outlineLevel="0" collapsed="false">
      <c r="A11" s="7" t="s">
        <v>895</v>
      </c>
      <c r="B11" s="8" t="s">
        <v>850</v>
      </c>
      <c r="C11" s="8" t="s">
        <v>896</v>
      </c>
      <c r="D11" s="8" t="s">
        <v>52</v>
      </c>
      <c r="E11" s="8" t="s">
        <v>668</v>
      </c>
      <c r="F11" s="8" t="s">
        <v>897</v>
      </c>
      <c r="G11" s="8" t="s">
        <v>898</v>
      </c>
      <c r="H11" s="8" t="s">
        <v>338</v>
      </c>
      <c r="I11" s="8" t="s">
        <v>899</v>
      </c>
      <c r="J11" s="8" t="s">
        <v>222</v>
      </c>
      <c r="K11" s="5" t="inlineStr">
        <is>
          <t xml:space="preserve">There is no Share action on the product page or a product-link opening flow for another phone.</t>
        </is>
      </c>
      <c r="L11" s="5" t="inlineStr">
        <is>
          <t xml:space="preserve">Not Run</t>
        </is>
      </c>
      <c r="M11" s="5" t="inlineStr">
        <is>
          <t xml:space="preserve">Draft: Add sharing and open the correct product from the shared link.</t>
        </is>
      </c>
    </row>
  </sheetData>
  <autoFilter ref="A1:M11"/>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42" hidden="false" customHeight="true" outlineLevel="0" collapsed="false">
      <c r="A2" s="7" t="s">
        <v>900</v>
      </c>
      <c r="B2" s="8" t="s">
        <v>901</v>
      </c>
      <c r="C2" s="8" t="s">
        <v>902</v>
      </c>
      <c r="D2" s="8" t="s">
        <v>52</v>
      </c>
      <c r="E2" s="8" t="s">
        <v>668</v>
      </c>
      <c r="F2" s="8" t="s">
        <v>681</v>
      </c>
      <c r="G2" s="8" t="s">
        <v>903</v>
      </c>
      <c r="H2" s="8"/>
      <c r="I2" s="8" t="s">
        <v>904</v>
      </c>
      <c r="J2" s="8"/>
      <c r="K2" s="5" t="inlineStr">
        <is>
          <t xml:space="preserve">A signed-in buyer can save a product to Favorites and remove it again. The heart changes with the saved state returned by that action.</t>
        </is>
      </c>
      <c r="L2" s="5" t="inlineStr">
        <is>
          <t xml:space="preserve">Not Run</t>
        </is>
      </c>
      <c r="M2" s="5" t="inlineStr">
        <is>
          <t xml:space="preserve">Draft: Confirm the Favorites list and reopened product stay in sync.</t>
        </is>
      </c>
    </row>
    <row r="3" customFormat="false" ht="42" hidden="false" customHeight="true" outlineLevel="0" collapsed="false">
      <c r="A3" s="7" t="s">
        <v>905</v>
      </c>
      <c r="B3" s="8" t="s">
        <v>901</v>
      </c>
      <c r="C3" s="8" t="s">
        <v>906</v>
      </c>
      <c r="D3" s="8" t="s">
        <v>54</v>
      </c>
      <c r="E3" s="8" t="s">
        <v>755</v>
      </c>
      <c r="F3" s="8" t="s">
        <v>681</v>
      </c>
      <c r="G3" s="8" t="s">
        <v>907</v>
      </c>
      <c r="H3" s="8"/>
      <c r="I3" s="8" t="s">
        <v>908</v>
      </c>
      <c r="J3" s="8" t="s">
        <v>177</v>
      </c>
      <c r="K3" s="5" t="inlineStr">
        <is>
          <t xml:space="preserve">Favorites is limited to one saved entry for each buyer and product. Rapid taps and the final heart state still need checking.</t>
        </is>
      </c>
      <c r="L3" s="5" t="inlineStr">
        <is>
          <t xml:space="preserve">Not Run</t>
        </is>
      </c>
      <c r="M3" s="5" t="inlineStr">
        <is>
          <t xml:space="preserve">Draft: Prevent repeated taps from leaving the heart in the wrong state.</t>
        </is>
      </c>
    </row>
    <row r="4" customFormat="false" ht="42" hidden="false" customHeight="true" outlineLevel="0" collapsed="false">
      <c r="A4" s="7" t="s">
        <v>909</v>
      </c>
      <c r="B4" s="8" t="s">
        <v>901</v>
      </c>
      <c r="C4" s="8" t="s">
        <v>910</v>
      </c>
      <c r="D4" s="8" t="s">
        <v>50</v>
      </c>
      <c r="E4" s="8" t="s">
        <v>668</v>
      </c>
      <c r="F4" s="8" t="s">
        <v>911</v>
      </c>
      <c r="G4" s="8" t="s">
        <v>912</v>
      </c>
      <c r="H4" s="8"/>
      <c r="I4" s="8" t="s">
        <v>913</v>
      </c>
      <c r="J4" s="8"/>
      <c r="K4" s="5" t="inlineStr">
        <is>
          <t xml:space="preserve">Favorites does not provide the Sold Out and Unavailable placeholders described in this test.</t>
        </is>
      </c>
      <c r="L4" s="5" t="inlineStr">
        <is>
          <t xml:space="preserve">Not Run</t>
        </is>
      </c>
      <c r="M4" s="5" t="inlineStr">
        <is>
          <t xml:space="preserve">Draft: Keep unavailable items understandable without breaking the list.</t>
        </is>
      </c>
    </row>
    <row r="5" customFormat="false" ht="54.75" hidden="false" customHeight="true" outlineLevel="0" collapsed="false">
      <c r="A5" s="7" t="s">
        <v>914</v>
      </c>
      <c r="B5" s="8" t="s">
        <v>901</v>
      </c>
      <c r="C5" s="8" t="s">
        <v>915</v>
      </c>
      <c r="D5" s="8" t="s">
        <v>52</v>
      </c>
      <c r="E5" s="8" t="s">
        <v>668</v>
      </c>
      <c r="F5" s="8" t="s">
        <v>916</v>
      </c>
      <c r="G5" s="8" t="s">
        <v>917</v>
      </c>
      <c r="H5" s="8"/>
      <c r="I5" s="8" t="s">
        <v>918</v>
      </c>
      <c r="J5" s="8"/>
      <c r="K5" s="5" t="inlineStr">
        <is>
          <t xml:space="preserve">Following and unfollowing changes the store's follower count. There is no separate Following list to check.</t>
        </is>
      </c>
      <c r="L5" s="5" t="inlineStr">
        <is>
          <t xml:space="preserve">Not Run</t>
        </is>
      </c>
      <c r="M5" s="5" t="inlineStr">
        <is>
          <t xml:space="preserve">Draft: Add a list of followed stores and keep it in sync.</t>
        </is>
      </c>
    </row>
    <row r="6" customFormat="false" ht="29.25" hidden="false" customHeight="true" outlineLevel="0" collapsed="false">
      <c r="A6" s="7" t="s">
        <v>919</v>
      </c>
      <c r="B6" s="8" t="s">
        <v>901</v>
      </c>
      <c r="C6" s="8" t="s">
        <v>920</v>
      </c>
      <c r="D6" s="8" t="s">
        <v>54</v>
      </c>
      <c r="E6" s="8" t="s">
        <v>755</v>
      </c>
      <c r="F6" s="8" t="s">
        <v>921</v>
      </c>
      <c r="G6" s="8" t="s">
        <v>922</v>
      </c>
      <c r="H6" s="8"/>
      <c r="I6" s="8" t="s">
        <v>923</v>
      </c>
      <c r="J6" s="8"/>
      <c r="K6" s="5" t="inlineStr">
        <is>
          <t xml:space="preserve">Saving a favorite and following a store require the buyer to sign in first.</t>
        </is>
      </c>
      <c r="L6" s="5" t="inlineStr">
        <is>
          <t xml:space="preserve">Not Run</t>
        </is>
      </c>
      <c r="M6" s="5" t="inlineStr">
        <is>
          <t xml:space="preserve">Draft: Confirm both guest actions return to login without saving anything.</t>
        </is>
      </c>
    </row>
  </sheetData>
  <autoFilter ref="A1:M6"/>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42" hidden="false" customHeight="true" outlineLevel="0" collapsed="false">
      <c r="A2" s="7" t="s">
        <v>924</v>
      </c>
      <c r="B2" s="8" t="s">
        <v>925</v>
      </c>
      <c r="C2" s="8" t="s">
        <v>926</v>
      </c>
      <c r="D2" s="8" t="s">
        <v>44</v>
      </c>
      <c r="E2" s="8" t="s">
        <v>680</v>
      </c>
      <c r="F2" s="8" t="s">
        <v>927</v>
      </c>
      <c r="G2" s="8" t="s">
        <v>928</v>
      </c>
      <c r="H2" s="8"/>
      <c r="I2" s="8" t="s">
        <v>929</v>
      </c>
      <c r="J2" s="8"/>
      <c r="K2" s="5" t="inlineStr">
        <is>
          <t xml:space="preserve">Adding the same product and variation again increases the quantity on the existing cart line.</t>
        </is>
      </c>
      <c r="L2" s="5" t="inlineStr">
        <is>
          <t xml:space="preserve">Not Run</t>
        </is>
      </c>
      <c r="M2" s="5" t="inlineStr">
        <is>
          <t xml:space="preserve">Draft: Confirm three units produce one line and the expected subtotal.</t>
        </is>
      </c>
    </row>
    <row r="3" customFormat="false" ht="29.25" hidden="false" customHeight="true" outlineLevel="0" collapsed="false">
      <c r="A3" s="7" t="s">
        <v>930</v>
      </c>
      <c r="B3" s="8" t="s">
        <v>925</v>
      </c>
      <c r="C3" s="8" t="s">
        <v>931</v>
      </c>
      <c r="D3" s="8" t="s">
        <v>44</v>
      </c>
      <c r="E3" s="8" t="s">
        <v>680</v>
      </c>
      <c r="F3" s="8" t="s">
        <v>927</v>
      </c>
      <c r="G3" s="8" t="s">
        <v>932</v>
      </c>
      <c r="H3" s="8"/>
      <c r="I3" s="8" t="s">
        <v>933</v>
      </c>
      <c r="J3" s="8"/>
      <c r="K3" s="5" t="inlineStr">
        <is>
          <t xml:space="preserve">Different variations of the same product stay on separate cart lines with their own prices.</t>
        </is>
      </c>
      <c r="L3" s="5" t="inlineStr">
        <is>
          <t xml:space="preserve">Not Run</t>
        </is>
      </c>
      <c r="M3" s="5" t="inlineStr">
        <is>
          <t xml:space="preserve">Draft: Confirm both selected variations and amounts in the cart.</t>
        </is>
      </c>
    </row>
    <row r="4" customFormat="false" ht="29.25" hidden="false" customHeight="true" outlineLevel="0" collapsed="false">
      <c r="A4" s="7" t="s">
        <v>934</v>
      </c>
      <c r="B4" s="8" t="s">
        <v>925</v>
      </c>
      <c r="C4" s="8" t="s">
        <v>935</v>
      </c>
      <c r="D4" s="8" t="s">
        <v>52</v>
      </c>
      <c r="E4" s="8" t="s">
        <v>668</v>
      </c>
      <c r="F4" s="8" t="s">
        <v>681</v>
      </c>
      <c r="G4" s="8" t="s">
        <v>936</v>
      </c>
      <c r="H4" s="8"/>
      <c r="I4" s="8" t="s">
        <v>937</v>
      </c>
      <c r="J4" s="8"/>
      <c r="K4" s="5" t="inlineStr">
        <is>
          <t xml:space="preserve">Items are shown in one list instead of being grouped under their store names.</t>
        </is>
      </c>
      <c r="L4" s="5" t="inlineStr">
        <is>
          <t xml:space="preserve">Not Run</t>
        </is>
      </c>
      <c r="M4" s="5" t="inlineStr">
        <is>
          <t xml:space="preserve">Draft: Group items by store to make the cart easier to review.</t>
        </is>
      </c>
    </row>
    <row r="5" customFormat="false" ht="54.75" hidden="false" customHeight="true" outlineLevel="0" collapsed="false">
      <c r="A5" s="7" t="s">
        <v>938</v>
      </c>
      <c r="B5" s="8" t="s">
        <v>925</v>
      </c>
      <c r="C5" s="8" t="s">
        <v>939</v>
      </c>
      <c r="D5" s="8" t="s">
        <v>48</v>
      </c>
      <c r="E5" s="8" t="s">
        <v>680</v>
      </c>
      <c r="F5" s="8" t="s">
        <v>940</v>
      </c>
      <c r="G5" s="8" t="s">
        <v>941</v>
      </c>
      <c r="H5" s="8"/>
      <c r="I5" s="8" t="s">
        <v>942</v>
      </c>
      <c r="J5" s="8"/>
      <c r="K5" s="5" t="inlineStr">
        <is>
          <t xml:space="preserve">Selecting and deselecting changes the subtotal shown in the cart. Checkout still loads the whole cart, including unselected items.</t>
        </is>
      </c>
      <c r="L5" s="5" t="inlineStr">
        <is>
          <t xml:space="preserve">Not Run</t>
        </is>
      </c>
      <c r="M5" s="5" t="inlineStr">
        <is>
          <t xml:space="preserve">Draft: Send only the selected items to checkout.</t>
        </is>
      </c>
    </row>
    <row r="6" customFormat="false" ht="42" hidden="false" customHeight="true" outlineLevel="0" collapsed="false">
      <c r="A6" s="7" t="s">
        <v>943</v>
      </c>
      <c r="B6" s="8" t="s">
        <v>925</v>
      </c>
      <c r="C6" s="8" t="s">
        <v>944</v>
      </c>
      <c r="D6" s="8" t="s">
        <v>46</v>
      </c>
      <c r="E6" s="8" t="s">
        <v>680</v>
      </c>
      <c r="F6" s="8" t="s">
        <v>945</v>
      </c>
      <c r="G6" s="8" t="s">
        <v>946</v>
      </c>
      <c r="H6" s="8"/>
      <c r="I6" s="8" t="s">
        <v>947</v>
      </c>
      <c r="J6" s="8" t="s">
        <v>117</v>
      </c>
      <c r="K6" s="5" t="inlineStr">
        <is>
          <t xml:space="preserve">Quantity cannot go below one, and an amount above the available stock is rejected.</t>
        </is>
      </c>
      <c r="L6" s="5" t="inlineStr">
        <is>
          <t xml:space="preserve">Not Run</t>
        </is>
      </c>
      <c r="M6" s="5" t="inlineStr">
        <is>
          <t xml:space="preserve">Draft: Confirm the one- and twenty-unit boundaries with the prepared stock.</t>
        </is>
      </c>
    </row>
    <row r="7" customFormat="false" ht="29.25" hidden="false" customHeight="true" outlineLevel="0" collapsed="false">
      <c r="A7" s="7" t="s">
        <v>948</v>
      </c>
      <c r="B7" s="8" t="s">
        <v>925</v>
      </c>
      <c r="C7" s="8" t="s">
        <v>949</v>
      </c>
      <c r="D7" s="8" t="s">
        <v>50</v>
      </c>
      <c r="E7" s="8" t="s">
        <v>680</v>
      </c>
      <c r="F7" s="8" t="s">
        <v>950</v>
      </c>
      <c r="G7" s="8" t="s">
        <v>951</v>
      </c>
      <c r="H7" s="8"/>
      <c r="I7" s="8" t="s">
        <v>952</v>
      </c>
      <c r="J7" s="8"/>
      <c r="K7" s="5" t="inlineStr">
        <is>
          <t xml:space="preserve">The cart uses the current selling price when it is loaded again. A changed price is reflected after reloading the cart.</t>
        </is>
      </c>
      <c r="L7" s="5" t="inlineStr">
        <is>
          <t xml:space="preserve">Not Run</t>
        </is>
      </c>
      <c r="M7" s="5" t="inlineStr">
        <is>
          <t xml:space="preserve">Draft: Confirm the price and subtotal both change to the new amount.</t>
        </is>
      </c>
    </row>
    <row r="8" customFormat="false" ht="67.5" hidden="false" customHeight="true" outlineLevel="0" collapsed="false">
      <c r="A8" s="7" t="s">
        <v>953</v>
      </c>
      <c r="B8" s="8" t="s">
        <v>925</v>
      </c>
      <c r="C8" s="8" t="s">
        <v>954</v>
      </c>
      <c r="D8" s="8" t="s">
        <v>50</v>
      </c>
      <c r="E8" s="8" t="s">
        <v>680</v>
      </c>
      <c r="F8" s="8" t="s">
        <v>955</v>
      </c>
      <c r="G8" s="8" t="s">
        <v>956</v>
      </c>
      <c r="H8" s="8"/>
      <c r="I8" s="8" t="s">
        <v>957</v>
      </c>
      <c r="J8" s="8"/>
      <c r="K8" s="5" t="inlineStr">
        <is>
          <t xml:space="preserve">Unavailable items are not clearly disabled for selection. A stock problem in one item can also stop checkout for the rest of the cart.</t>
        </is>
      </c>
      <c r="L8" s="5" t="inlineStr">
        <is>
          <t xml:space="preserve">Not Run</t>
        </is>
      </c>
      <c r="M8" s="5" t="inlineStr">
        <is>
          <t xml:space="preserve">Draft: Mark unavailable items and let the buyer check out the available ones.</t>
        </is>
      </c>
    </row>
    <row r="9" customFormat="false" ht="29.25" hidden="false" customHeight="true" outlineLevel="0" collapsed="false">
      <c r="A9" s="7" t="s">
        <v>958</v>
      </c>
      <c r="B9" s="8" t="s">
        <v>925</v>
      </c>
      <c r="C9" s="8" t="s">
        <v>959</v>
      </c>
      <c r="D9" s="8" t="s">
        <v>50</v>
      </c>
      <c r="E9" s="8" t="s">
        <v>668</v>
      </c>
      <c r="F9" s="8" t="s">
        <v>960</v>
      </c>
      <c r="G9" s="8" t="s">
        <v>961</v>
      </c>
      <c r="H9" s="8"/>
      <c r="I9" s="8" t="s">
        <v>962</v>
      </c>
      <c r="J9" s="8"/>
      <c r="K9" s="5" t="inlineStr">
        <is>
          <t xml:space="preserve">The cart belongs to the buyer account and is kept after signing out. Loading the same cart on a second device still needs checking.</t>
        </is>
      </c>
      <c r="L9" s="5" t="inlineStr">
        <is>
          <t xml:space="preserve">Not Run</t>
        </is>
      </c>
      <c r="M9" s="5" t="inlineStr">
        <is>
          <t xml:space="preserve">Draft: Confirm the same quantities appear after login on both devices.</t>
        </is>
      </c>
    </row>
    <row r="10" customFormat="false" ht="29.25" hidden="false" customHeight="true" outlineLevel="0" collapsed="false">
      <c r="A10" s="7" t="s">
        <v>963</v>
      </c>
      <c r="B10" s="8" t="s">
        <v>925</v>
      </c>
      <c r="C10" s="8" t="s">
        <v>964</v>
      </c>
      <c r="D10" s="8" t="s">
        <v>52</v>
      </c>
      <c r="E10" s="8" t="s">
        <v>755</v>
      </c>
      <c r="F10" s="8" t="s">
        <v>681</v>
      </c>
      <c r="G10" s="8" t="s">
        <v>965</v>
      </c>
      <c r="H10" s="8"/>
      <c r="I10" s="8" t="s">
        <v>966</v>
      </c>
      <c r="J10" s="8"/>
      <c r="K10" s="5" t="inlineStr">
        <is>
          <t xml:space="preserve">Removing an item deletes its cart line and reloads the remaining items and subtotal.</t>
        </is>
      </c>
      <c r="L10" s="5" t="inlineStr">
        <is>
          <t xml:space="preserve">Not Run</t>
        </is>
      </c>
      <c r="M10" s="5" t="inlineStr">
        <is>
          <t xml:space="preserve">Draft: Confirm the removed line stays gone when the cart is reopened.</t>
        </is>
      </c>
    </row>
    <row r="11" customFormat="false" ht="42" hidden="false" customHeight="true" outlineLevel="0" collapsed="false">
      <c r="A11" s="7" t="s">
        <v>967</v>
      </c>
      <c r="B11" s="8" t="s">
        <v>925</v>
      </c>
      <c r="C11" s="8" t="s">
        <v>968</v>
      </c>
      <c r="D11" s="8" t="s">
        <v>54</v>
      </c>
      <c r="E11" s="8" t="s">
        <v>680</v>
      </c>
      <c r="F11" s="8" t="s">
        <v>681</v>
      </c>
      <c r="G11" s="8" t="s">
        <v>969</v>
      </c>
      <c r="H11" s="8"/>
      <c r="I11" s="8" t="s">
        <v>970</v>
      </c>
      <c r="J11" s="8" t="s">
        <v>778</v>
      </c>
      <c r="K11" s="5" t="inlineStr">
        <is>
          <t xml:space="preserve">Cart updates and removals are limited to items in the signed-in buyer's own cart.</t>
        </is>
      </c>
      <c r="L11" s="5" t="inlineStr">
        <is>
          <t xml:space="preserve">Not Run</t>
        </is>
      </c>
      <c r="M11" s="5" t="inlineStr">
        <is>
          <t xml:space="preserve">Draft: Confirm another buyer's item cannot be changed through a direct request.</t>
        </is>
      </c>
    </row>
    <row r="12" customFormat="false" ht="54.75" hidden="false" customHeight="true" outlineLevel="0" collapsed="false">
      <c r="A12" s="7" t="s">
        <v>971</v>
      </c>
      <c r="B12" s="8" t="s">
        <v>925</v>
      </c>
      <c r="C12" s="8" t="s">
        <v>972</v>
      </c>
      <c r="D12" s="8" t="s">
        <v>54</v>
      </c>
      <c r="E12" s="8" t="s">
        <v>668</v>
      </c>
      <c r="F12" s="8" t="s">
        <v>973</v>
      </c>
      <c r="G12" s="8" t="s">
        <v>974</v>
      </c>
      <c r="H12" s="8" t="s">
        <v>975</v>
      </c>
      <c r="I12" s="8" t="s">
        <v>976</v>
      </c>
      <c r="J12" s="8" t="s">
        <v>204</v>
      </c>
      <c r="K12" s="5" t="inlineStr">
        <is>
          <t xml:space="preserve">The displayed quantity changes after a successful save rather than immediately. Failed updates show an error, but reconnecting still needs checking.</t>
        </is>
      </c>
      <c r="L12" s="5" t="inlineStr">
        <is>
          <t xml:space="preserve">Not Run</t>
        </is>
      </c>
      <c r="M12" s="5" t="inlineStr">
        <is>
          <t xml:space="preserve">Draft: Confirm the displayed quantity matches what was actually saved.</t>
        </is>
      </c>
    </row>
    <row r="13" customFormat="false" ht="42" hidden="false" customHeight="true" outlineLevel="0" collapsed="false">
      <c r="A13" s="7" t="s">
        <v>977</v>
      </c>
      <c r="B13" s="8" t="s">
        <v>925</v>
      </c>
      <c r="C13" s="8" t="s">
        <v>978</v>
      </c>
      <c r="D13" s="8" t="s">
        <v>52</v>
      </c>
      <c r="E13" s="8" t="s">
        <v>755</v>
      </c>
      <c r="F13" s="8" t="s">
        <v>927</v>
      </c>
      <c r="G13" s="8" t="s">
        <v>979</v>
      </c>
      <c r="H13" s="8"/>
      <c r="I13" s="8" t="s">
        <v>980</v>
      </c>
      <c r="J13" s="8"/>
      <c r="K13" s="5" t="inlineStr">
        <is>
          <t xml:space="preserve">The bottom cart badge counts item lines rather than individual units. It loads when the bottom menu is created, so immediate changes are not guaranteed.</t>
        </is>
      </c>
      <c r="L13" s="5" t="inlineStr">
        <is>
          <t xml:space="preserve">Not Run</t>
        </is>
      </c>
      <c r="M13" s="5" t="inlineStr">
        <is>
          <t xml:space="preserve">Draft: Keep the badge updated after each add or removal.</t>
        </is>
      </c>
    </row>
  </sheetData>
  <autoFilter ref="A1:M13"/>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42" hidden="false" customHeight="true" outlineLevel="0" collapsed="false">
      <c r="A2" s="7" t="s">
        <v>981</v>
      </c>
      <c r="B2" s="8" t="s">
        <v>982</v>
      </c>
      <c r="C2" s="8" t="s">
        <v>983</v>
      </c>
      <c r="D2" s="8" t="s">
        <v>52</v>
      </c>
      <c r="E2" s="8" t="s">
        <v>680</v>
      </c>
      <c r="F2" s="8" t="s">
        <v>681</v>
      </c>
      <c r="G2" s="8" t="s">
        <v>984</v>
      </c>
      <c r="H2" s="8"/>
      <c r="I2" s="8" t="s">
        <v>985</v>
      </c>
      <c r="J2" s="8"/>
      <c r="K2" s="5" t="inlineStr">
        <is>
          <t xml:space="preserve">Vouchers can be selected or entered at checkout, but there is no voucher wallet or Claimed state.</t>
        </is>
      </c>
      <c r="L2" s="5" t="inlineStr">
        <is>
          <t xml:space="preserve">Not Run</t>
        </is>
      </c>
      <c r="M2" s="5" t="inlineStr">
        <is>
          <t xml:space="preserve">Draft: Add claiming and a wallet if this flow is required.</t>
        </is>
      </c>
    </row>
    <row r="3" customFormat="false" ht="29.25" hidden="false" customHeight="true" outlineLevel="0" collapsed="false">
      <c r="A3" s="7" t="s">
        <v>986</v>
      </c>
      <c r="B3" s="8" t="s">
        <v>982</v>
      </c>
      <c r="C3" s="8" t="s">
        <v>987</v>
      </c>
      <c r="D3" s="8" t="s">
        <v>52</v>
      </c>
      <c r="E3" s="8" t="s">
        <v>680</v>
      </c>
      <c r="F3" s="8" t="s">
        <v>988</v>
      </c>
      <c r="G3" s="8" t="s">
        <v>989</v>
      </c>
      <c r="H3" s="8"/>
      <c r="I3" s="8" t="s">
        <v>990</v>
      </c>
      <c r="J3" s="8"/>
      <c r="K3" s="5" t="inlineStr">
        <is>
          <t xml:space="preserve">One voucher discounts the whole cart rather than a particular store group. The checkout also does not add the shipping charge in this example.</t>
        </is>
      </c>
      <c r="L3" s="5" t="inlineStr">
        <is>
          <t xml:space="preserve">Not Run</t>
        </is>
      </c>
      <c r="M3" s="5" t="inlineStr">
        <is>
          <t xml:space="preserve">Draft: Apply store vouchers to the correct store and include shipping separately.</t>
        </is>
      </c>
    </row>
    <row r="4" customFormat="false" ht="93" hidden="false" customHeight="true" outlineLevel="0" collapsed="false">
      <c r="A4" s="7" t="s">
        <v>991</v>
      </c>
      <c r="B4" s="8" t="s">
        <v>982</v>
      </c>
      <c r="C4" s="8" t="s">
        <v>992</v>
      </c>
      <c r="D4" s="8" t="s">
        <v>48</v>
      </c>
      <c r="E4" s="8" t="s">
        <v>680</v>
      </c>
      <c r="F4" s="8" t="s">
        <v>993</v>
      </c>
      <c r="G4" s="8" t="s">
        <v>994</v>
      </c>
      <c r="H4" s="8" t="s">
        <v>995</v>
      </c>
      <c r="I4" s="8" t="s">
        <v>996</v>
      </c>
      <c r="J4" s="8" t="s">
        <v>72</v>
      </c>
      <c r="K4" s="5" t="inlineStr">
        <is>
          <t xml:space="preserve">Only one voucher can be selected at a time. Store, platform, and shipping vouchers cannot be combined as in the example.</t>
        </is>
      </c>
      <c r="L4" s="5" t="inlineStr">
        <is>
          <t xml:space="preserve">Not Run</t>
        </is>
      </c>
      <c r="M4" s="5" t="inlineStr">
        <is>
          <t xml:space="preserve">Draft: Add the agreed voucher-stacking rules.</t>
        </is>
      </c>
    </row>
    <row r="5" customFormat="false" ht="80.25" hidden="false" customHeight="true" outlineLevel="0" collapsed="false">
      <c r="A5" s="7" t="s">
        <v>997</v>
      </c>
      <c r="B5" s="8" t="s">
        <v>982</v>
      </c>
      <c r="C5" s="8" t="s">
        <v>998</v>
      </c>
      <c r="D5" s="8" t="s">
        <v>46</v>
      </c>
      <c r="E5" s="8" t="s">
        <v>680</v>
      </c>
      <c r="F5" s="8" t="s">
        <v>999</v>
      </c>
      <c r="G5" s="8" t="s">
        <v>1000</v>
      </c>
      <c r="H5" s="8" t="s">
        <v>1001</v>
      </c>
      <c r="I5" s="8" t="s">
        <v>1002</v>
      </c>
      <c r="J5" s="8"/>
      <c r="K5" s="5" t="inlineStr">
        <is>
          <t xml:space="preserve">The voucher is rejected below its minimum spend and allowed at the minimum. The message gives the required spend rather than how much more is needed.</t>
        </is>
      </c>
      <c r="L5" s="5" t="inlineStr">
        <is>
          <t xml:space="preserve">Not Run</t>
        </is>
      </c>
      <c r="M5" s="5" t="inlineStr">
        <is>
          <t xml:space="preserve">Draft: Add a helpful message such as Spend ₱0.01 More.</t>
        </is>
      </c>
    </row>
    <row r="6" customFormat="false" ht="54.75" hidden="false" customHeight="true" outlineLevel="0" collapsed="false">
      <c r="A6" s="7" t="s">
        <v>1003</v>
      </c>
      <c r="B6" s="8" t="s">
        <v>982</v>
      </c>
      <c r="C6" s="8" t="s">
        <v>1004</v>
      </c>
      <c r="D6" s="8" t="s">
        <v>44</v>
      </c>
      <c r="E6" s="8" t="s">
        <v>680</v>
      </c>
      <c r="F6" s="8" t="s">
        <v>681</v>
      </c>
      <c r="G6" s="8" t="s">
        <v>1005</v>
      </c>
      <c r="H6" s="8" t="s">
        <v>1006</v>
      </c>
      <c r="I6" s="8" t="s">
        <v>1007</v>
      </c>
      <c r="J6" s="8"/>
      <c r="K6" s="5" t="inlineStr">
        <is>
          <t xml:space="preserve">Expired, future, exhausted, and unknown voucher codes are rejected with the same Invalid or Expired message.</t>
        </is>
      </c>
      <c r="L6" s="5" t="inlineStr">
        <is>
          <t xml:space="preserve">Not Run</t>
        </is>
      </c>
      <c r="M6" s="5" t="inlineStr">
        <is>
          <t xml:space="preserve">Draft: Give a specific reason for each unavailable voucher.</t>
        </is>
      </c>
    </row>
    <row r="7" customFormat="false" ht="29.25" hidden="false" customHeight="true" outlineLevel="0" collapsed="false">
      <c r="A7" s="7" t="s">
        <v>1008</v>
      </c>
      <c r="B7" s="8" t="s">
        <v>982</v>
      </c>
      <c r="C7" s="8" t="s">
        <v>1009</v>
      </c>
      <c r="D7" s="8" t="s">
        <v>44</v>
      </c>
      <c r="E7" s="8" t="s">
        <v>668</v>
      </c>
      <c r="F7" s="8" t="s">
        <v>1010</v>
      </c>
      <c r="G7" s="8" t="s">
        <v>1011</v>
      </c>
      <c r="H7" s="8"/>
      <c r="I7" s="8" t="s">
        <v>1012</v>
      </c>
      <c r="J7" s="8"/>
      <c r="K7" s="5" t="inlineStr">
        <is>
          <t xml:space="preserve">There is no per-buyer usage check, so the same buyer is not specifically blocked from reusing the voucher.</t>
        </is>
      </c>
      <c r="L7" s="5" t="inlineStr">
        <is>
          <t xml:space="preserve">Not Run</t>
        </is>
      </c>
      <c r="M7" s="5" t="inlineStr">
        <is>
          <t xml:space="preserve">Draft: Apply the limit separately to each buyer.</t>
        </is>
      </c>
    </row>
    <row r="8" customFormat="false" ht="42" hidden="false" customHeight="true" outlineLevel="0" collapsed="false">
      <c r="A8" s="7" t="s">
        <v>1013</v>
      </c>
      <c r="B8" s="8" t="s">
        <v>982</v>
      </c>
      <c r="C8" s="8" t="s">
        <v>1014</v>
      </c>
      <c r="D8" s="8" t="s">
        <v>50</v>
      </c>
      <c r="E8" s="8" t="s">
        <v>680</v>
      </c>
      <c r="F8" s="8" t="s">
        <v>1015</v>
      </c>
      <c r="G8" s="8" t="s">
        <v>1016</v>
      </c>
      <c r="H8" s="8"/>
      <c r="I8" s="8" t="s">
        <v>1017</v>
      </c>
      <c r="J8" s="8"/>
      <c r="K8" s="5" t="inlineStr">
        <is>
          <t xml:space="preserve">Checkout checks the minimum spend again before placing an order. The applied voucher is not automatically removed with a notice when the amount falls below the minimum.</t>
        </is>
      </c>
      <c r="L8" s="5" t="inlineStr">
        <is>
          <t xml:space="preserve">Not Run</t>
        </is>
      </c>
      <c r="M8" s="5" t="inlineStr">
        <is>
          <t xml:space="preserve">Draft: Remove an ineligible voucher and update the total clearly.</t>
        </is>
      </c>
    </row>
    <row r="9" customFormat="false" ht="67.5" hidden="false" customHeight="true" outlineLevel="0" collapsed="false">
      <c r="A9" s="7" t="s">
        <v>1018</v>
      </c>
      <c r="B9" s="8" t="s">
        <v>982</v>
      </c>
      <c r="C9" s="8" t="s">
        <v>1019</v>
      </c>
      <c r="D9" s="8" t="s">
        <v>46</v>
      </c>
      <c r="E9" s="8" t="s">
        <v>680</v>
      </c>
      <c r="F9" s="8" t="s">
        <v>1020</v>
      </c>
      <c r="G9" s="8" t="s">
        <v>1021</v>
      </c>
      <c r="H9" s="8" t="s">
        <v>1022</v>
      </c>
      <c r="I9" s="8" t="s">
        <v>1023</v>
      </c>
      <c r="J9" s="8"/>
      <c r="K9" s="5" t="inlineStr">
        <is>
          <t xml:space="preserve">A percentage voucher is capped at its maximum discount, and the discount is rounded to two decimal places.</t>
        </is>
      </c>
      <c r="L9" s="5" t="inlineStr">
        <is>
          <t xml:space="preserve">Not Run</t>
        </is>
      </c>
      <c r="M9" s="5" t="inlineStr">
        <is>
          <t xml:space="preserve">Draft: Confirm each amount around the minimum and cap.</t>
        </is>
      </c>
    </row>
    <row r="10" customFormat="false" ht="54.75" hidden="false" customHeight="true" outlineLevel="0" collapsed="false">
      <c r="A10" s="7" t="s">
        <v>1024</v>
      </c>
      <c r="B10" s="8" t="s">
        <v>982</v>
      </c>
      <c r="C10" s="8" t="s">
        <v>1025</v>
      </c>
      <c r="D10" s="8" t="s">
        <v>46</v>
      </c>
      <c r="E10" s="8" t="s">
        <v>668</v>
      </c>
      <c r="F10" s="8" t="s">
        <v>1026</v>
      </c>
      <c r="G10" s="8" t="s">
        <v>1027</v>
      </c>
      <c r="H10" s="8"/>
      <c r="I10" s="8" t="s">
        <v>1028</v>
      </c>
      <c r="J10" s="8"/>
      <c r="K10" s="5" t="inlineStr">
        <is>
          <t xml:space="preserve">Shipping is not calculated separately, and shipping vouchers are not handled as a separate discount on that fee.</t>
        </is>
      </c>
      <c r="L10" s="5" t="inlineStr">
        <is>
          <t xml:space="preserve">Not Run</t>
        </is>
      </c>
      <c r="M10" s="5" t="inlineStr">
        <is>
          <t xml:space="preserve">Draft: Apply free shipping to the delivery fee rather than the merchandise.</t>
        </is>
      </c>
    </row>
    <row r="11" customFormat="false" ht="42" hidden="false" customHeight="true" outlineLevel="0" collapsed="false">
      <c r="A11" s="7" t="s">
        <v>1029</v>
      </c>
      <c r="B11" s="8" t="s">
        <v>982</v>
      </c>
      <c r="C11" s="8" t="s">
        <v>1030</v>
      </c>
      <c r="D11" s="8" t="s">
        <v>54</v>
      </c>
      <c r="E11" s="8" t="s">
        <v>668</v>
      </c>
      <c r="F11" s="8" t="s">
        <v>1031</v>
      </c>
      <c r="G11" s="8" t="s">
        <v>1032</v>
      </c>
      <c r="H11" s="8"/>
      <c r="I11" s="8" t="s">
        <v>1033</v>
      </c>
      <c r="J11" s="8"/>
      <c r="K11" s="5" t="inlineStr">
        <is>
          <t xml:space="preserve">The voucher discount cannot reduce the merchandise total below zero. There is no separate shipping charge in the current total.</t>
        </is>
      </c>
      <c r="L11" s="5" t="inlineStr">
        <is>
          <t xml:space="preserve">Not Run</t>
        </is>
      </c>
      <c r="M11" s="5" t="inlineStr">
        <is>
          <t xml:space="preserve">Draft: Keep the total non-negative and handle shipping separately.</t>
        </is>
      </c>
    </row>
    <row r="12" customFormat="false" ht="29.25" hidden="false" customHeight="true" outlineLevel="0" collapsed="false">
      <c r="A12" s="7" t="s">
        <v>1034</v>
      </c>
      <c r="B12" s="8" t="s">
        <v>982</v>
      </c>
      <c r="C12" s="8" t="s">
        <v>1035</v>
      </c>
      <c r="D12" s="8" t="s">
        <v>48</v>
      </c>
      <c r="E12" s="8" t="s">
        <v>668</v>
      </c>
      <c r="F12" s="8" t="s">
        <v>1036</v>
      </c>
      <c r="G12" s="8" t="s">
        <v>1037</v>
      </c>
      <c r="H12" s="8"/>
      <c r="I12" s="8" t="s">
        <v>1038</v>
      </c>
      <c r="J12" s="8" t="s">
        <v>78</v>
      </c>
      <c r="K12" s="5" t="inlineStr">
        <is>
          <t xml:space="preserve">Voucher calculations use the current sale price, so a sale item can still qualify. The extra shipping amount in the example is not included.</t>
        </is>
      </c>
      <c r="L12" s="5" t="inlineStr">
        <is>
          <t xml:space="preserve">Not Run</t>
        </is>
      </c>
      <c r="M12" s="5" t="inlineStr">
        <is>
          <t xml:space="preserve">Draft: Confirm the sale discount and shipping breakdown together.</t>
        </is>
      </c>
    </row>
    <row r="13" customFormat="false" ht="29.25" hidden="false" customHeight="true" outlineLevel="0" collapsed="false">
      <c r="A13" s="7" t="s">
        <v>1039</v>
      </c>
      <c r="B13" s="8" t="s">
        <v>982</v>
      </c>
      <c r="C13" s="8" t="s">
        <v>1040</v>
      </c>
      <c r="D13" s="8" t="s">
        <v>50</v>
      </c>
      <c r="E13" s="8" t="s">
        <v>668</v>
      </c>
      <c r="F13" s="8" t="s">
        <v>1041</v>
      </c>
      <c r="G13" s="8" t="s">
        <v>1042</v>
      </c>
      <c r="H13" s="8"/>
      <c r="I13" s="8" t="s">
        <v>1043</v>
      </c>
      <c r="J13" s="8" t="s">
        <v>129</v>
      </c>
      <c r="K13" s="5" t="inlineStr">
        <is>
          <t xml:space="preserve">Cancelling an order does not restore the voucher's usage or return it to a voucher wallet.</t>
        </is>
      </c>
      <c r="L13" s="5" t="inlineStr">
        <is>
          <t xml:space="preserve">Not Run</t>
        </is>
      </c>
      <c r="M13" s="5" t="inlineStr">
        <is>
          <t xml:space="preserve">Draft: Return an eligible voucher after cancellation.</t>
        </is>
      </c>
    </row>
  </sheetData>
  <autoFilter ref="A1:M13"/>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93" hidden="false" customHeight="true" outlineLevel="0" collapsed="false">
      <c r="A2" s="7" t="s">
        <v>1044</v>
      </c>
      <c r="B2" s="8" t="s">
        <v>1045</v>
      </c>
      <c r="C2" s="8" t="s">
        <v>1046</v>
      </c>
      <c r="D2" s="8" t="s">
        <v>52</v>
      </c>
      <c r="E2" s="8" t="s">
        <v>680</v>
      </c>
      <c r="F2" s="8" t="s">
        <v>993</v>
      </c>
      <c r="G2" s="8" t="s">
        <v>1047</v>
      </c>
      <c r="H2" s="8" t="s">
        <v>995</v>
      </c>
      <c r="I2" s="8" t="s">
        <v>1048</v>
      </c>
      <c r="J2" s="8" t="s">
        <v>1049</v>
      </c>
      <c r="K2" s="5" t="inlineStr">
        <is>
          <t xml:space="preserve">Checkout combines the cart into one order with one voucher. It does not create separate store orders or include the shipping breakdown in the worked example.</t>
        </is>
      </c>
      <c r="L2" s="5" t="inlineStr">
        <is>
          <t xml:space="preserve">Not Run</t>
        </is>
      </c>
      <c r="M2" s="5" t="inlineStr">
        <is>
          <t xml:space="preserve">Draft: Split orders by store and show the full discount and shipping breakdown.</t>
        </is>
      </c>
    </row>
    <row r="3" customFormat="false" ht="29.25" hidden="false" customHeight="true" outlineLevel="0" collapsed="false">
      <c r="A3" s="7" t="s">
        <v>1050</v>
      </c>
      <c r="B3" s="8" t="s">
        <v>1045</v>
      </c>
      <c r="C3" s="8" t="s">
        <v>1051</v>
      </c>
      <c r="D3" s="8" t="s">
        <v>44</v>
      </c>
      <c r="E3" s="8" t="s">
        <v>680</v>
      </c>
      <c r="F3" s="8" t="s">
        <v>681</v>
      </c>
      <c r="G3" s="8" t="s">
        <v>1052</v>
      </c>
      <c r="H3" s="8"/>
      <c r="I3" s="8" t="s">
        <v>1053</v>
      </c>
      <c r="J3" s="8" t="s">
        <v>126</v>
      </c>
      <c r="K3" s="5" t="inlineStr">
        <is>
          <t xml:space="preserve">Changing the delivery address does not add or update a shipping fee.</t>
        </is>
      </c>
      <c r="L3" s="5" t="inlineStr">
        <is>
          <t xml:space="preserve">Not Run</t>
        </is>
      </c>
      <c r="M3" s="5" t="inlineStr">
        <is>
          <t xml:space="preserve">Draft: Recalculate shipping for the selected address and store.</t>
        </is>
      </c>
    </row>
    <row r="4" customFormat="false" ht="29.25" hidden="false" customHeight="true" outlineLevel="0" collapsed="false">
      <c r="A4" s="7" t="s">
        <v>1054</v>
      </c>
      <c r="B4" s="8" t="s">
        <v>1045</v>
      </c>
      <c r="C4" s="8" t="s">
        <v>1055</v>
      </c>
      <c r="D4" s="8" t="s">
        <v>46</v>
      </c>
      <c r="E4" s="8" t="s">
        <v>668</v>
      </c>
      <c r="F4" s="8" t="s">
        <v>1056</v>
      </c>
      <c r="G4" s="8" t="s">
        <v>1057</v>
      </c>
      <c r="H4" s="8" t="s">
        <v>1058</v>
      </c>
      <c r="I4" s="8" t="s">
        <v>1059</v>
      </c>
      <c r="J4" s="8" t="s">
        <v>126</v>
      </c>
      <c r="K4" s="5" t="inlineStr">
        <is>
          <t xml:space="preserve">There is no shipping calculation based on the parcel's weight, so the one-kilogram boundary is not applied.</t>
        </is>
      </c>
      <c r="L4" s="5" t="inlineStr">
        <is>
          <t xml:space="preserve">Not Run</t>
        </is>
      </c>
      <c r="M4" s="5" t="inlineStr">
        <is>
          <t xml:space="preserve">Draft: Calculate delivery fees using the agreed weight brackets.</t>
        </is>
      </c>
    </row>
    <row r="5" customFormat="false" ht="42" hidden="false" customHeight="true" outlineLevel="0" collapsed="false">
      <c r="A5" s="7" t="s">
        <v>1060</v>
      </c>
      <c r="B5" s="8" t="s">
        <v>1045</v>
      </c>
      <c r="C5" s="8" t="s">
        <v>1061</v>
      </c>
      <c r="D5" s="8" t="s">
        <v>44</v>
      </c>
      <c r="E5" s="8" t="s">
        <v>680</v>
      </c>
      <c r="F5" s="8" t="s">
        <v>681</v>
      </c>
      <c r="G5" s="8" t="s">
        <v>1062</v>
      </c>
      <c r="H5" s="8"/>
      <c r="I5" s="8" t="s">
        <v>1063</v>
      </c>
      <c r="J5" s="8"/>
      <c r="K5" s="5" t="inlineStr">
        <is>
          <t xml:space="preserve">Checkout checks that the address belongs to the buyer but does not block an area that delivery services cannot cover.</t>
        </is>
      </c>
      <c r="L5" s="5" t="inlineStr">
        <is>
          <t xml:space="preserve">Not Run</t>
        </is>
      </c>
      <c r="M5" s="5" t="inlineStr">
        <is>
          <t xml:space="preserve">Draft: Check delivery coverage before allowing an order.</t>
        </is>
      </c>
    </row>
    <row r="6" customFormat="false" ht="42" hidden="false" customHeight="true" outlineLevel="0" collapsed="false">
      <c r="A6" s="7" t="s">
        <v>1064</v>
      </c>
      <c r="B6" s="8" t="s">
        <v>1045</v>
      </c>
      <c r="C6" s="8" t="s">
        <v>1065</v>
      </c>
      <c r="D6" s="8" t="s">
        <v>46</v>
      </c>
      <c r="E6" s="8" t="s">
        <v>755</v>
      </c>
      <c r="F6" s="8" t="s">
        <v>681</v>
      </c>
      <c r="G6" s="8" t="s">
        <v>1066</v>
      </c>
      <c r="H6" s="8" t="s">
        <v>1067</v>
      </c>
      <c r="I6" s="8" t="s">
        <v>1068</v>
      </c>
      <c r="J6" s="8" t="s">
        <v>141</v>
      </c>
      <c r="K6" s="5" t="inlineStr">
        <is>
          <t xml:space="preserve">There is no Note to Seller field on the checkout screen. The order-note allowance also differs from the 200-character rule.</t>
        </is>
      </c>
      <c r="L6" s="5" t="inlineStr">
        <is>
          <t xml:space="preserve">Not Run</t>
        </is>
      </c>
      <c r="M6" s="5" t="inlineStr">
        <is>
          <t xml:space="preserve">Draft: Add the note field with the agreed character limit.</t>
        </is>
      </c>
    </row>
    <row r="7" customFormat="false" ht="29.25" hidden="false" customHeight="true" outlineLevel="0" collapsed="false">
      <c r="A7" s="7" t="s">
        <v>1069</v>
      </c>
      <c r="B7" s="8" t="s">
        <v>1045</v>
      </c>
      <c r="C7" s="8" t="s">
        <v>1070</v>
      </c>
      <c r="D7" s="8" t="s">
        <v>44</v>
      </c>
      <c r="E7" s="8" t="s">
        <v>668</v>
      </c>
      <c r="F7" s="8" t="s">
        <v>681</v>
      </c>
      <c r="G7" s="8" t="s">
        <v>1071</v>
      </c>
      <c r="H7" s="8"/>
      <c r="I7" s="8" t="s">
        <v>1072</v>
      </c>
      <c r="J7" s="8"/>
      <c r="K7" s="5" t="inlineStr">
        <is>
          <t xml:space="preserve">Cash on Delivery is already selected, so there is no blank payment selection through the checkout screen. A request without a payment method is rejected.</t>
        </is>
      </c>
      <c r="L7" s="5" t="inlineStr">
        <is>
          <t xml:space="preserve">Not Run</t>
        </is>
      </c>
      <c r="M7" s="5" t="inlineStr">
        <is>
          <t xml:space="preserve">Draft: The payment method is required, but the screen uses a default selection.</t>
        </is>
      </c>
    </row>
    <row r="8" customFormat="false" ht="42" hidden="false" customHeight="true" outlineLevel="0" collapsed="false">
      <c r="A8" s="7" t="s">
        <v>1073</v>
      </c>
      <c r="B8" s="8" t="s">
        <v>1045</v>
      </c>
      <c r="C8" s="8" t="s">
        <v>1074</v>
      </c>
      <c r="D8" s="8" t="s">
        <v>54</v>
      </c>
      <c r="E8" s="8" t="s">
        <v>680</v>
      </c>
      <c r="F8" s="8" t="s">
        <v>866</v>
      </c>
      <c r="G8" s="8" t="s">
        <v>1075</v>
      </c>
      <c r="H8" s="8"/>
      <c r="I8" s="8" t="s">
        <v>1076</v>
      </c>
      <c r="J8" s="8" t="s">
        <v>177</v>
      </c>
      <c r="K8" s="5" t="inlineStr">
        <is>
          <t xml:space="preserve">Place Order is disabled while an order is being submitted. Repeated or simultaneous submissions still need checking to confirm only one order is saved.</t>
        </is>
      </c>
      <c r="L8" s="5" t="inlineStr">
        <is>
          <t xml:space="preserve">Not Run</t>
        </is>
      </c>
      <c r="M8" s="5" t="inlineStr">
        <is>
          <t xml:space="preserve">Draft: Confirm one order and one stock deduction after repeated taps.</t>
        </is>
      </c>
    </row>
    <row r="9" customFormat="false" ht="42" hidden="false" customHeight="true" outlineLevel="0" collapsed="false">
      <c r="A9" s="7" t="s">
        <v>1077</v>
      </c>
      <c r="B9" s="8" t="s">
        <v>1045</v>
      </c>
      <c r="C9" s="8" t="s">
        <v>1078</v>
      </c>
      <c r="D9" s="8" t="s">
        <v>54</v>
      </c>
      <c r="E9" s="8" t="s">
        <v>680</v>
      </c>
      <c r="F9" s="8" t="s">
        <v>1079</v>
      </c>
      <c r="G9" s="8" t="s">
        <v>1080</v>
      </c>
      <c r="H9" s="8"/>
      <c r="I9" s="8" t="s">
        <v>1081</v>
      </c>
      <c r="J9" s="8"/>
      <c r="K9" s="5" t="inlineStr">
        <is>
          <t xml:space="preserve">A changed price is used when the order is placed, but the buyer is not asked to confirm the new amount first.</t>
        </is>
      </c>
      <c r="L9" s="5" t="inlineStr">
        <is>
          <t xml:space="preserve">Not Run</t>
        </is>
      </c>
      <c r="M9" s="5" t="inlineStr">
        <is>
          <t xml:space="preserve">Draft: Show the new price and ask the buyer to confirm before placing the order.</t>
        </is>
      </c>
    </row>
    <row r="10" customFormat="false" ht="29.25" hidden="false" customHeight="true" outlineLevel="0" collapsed="false">
      <c r="A10" s="7" t="s">
        <v>1082</v>
      </c>
      <c r="B10" s="8" t="s">
        <v>1045</v>
      </c>
      <c r="C10" s="8" t="s">
        <v>1083</v>
      </c>
      <c r="D10" s="8" t="s">
        <v>54</v>
      </c>
      <c r="E10" s="8" t="s">
        <v>680</v>
      </c>
      <c r="F10" s="8" t="s">
        <v>1084</v>
      </c>
      <c r="G10" s="8" t="s">
        <v>1085</v>
      </c>
      <c r="H10" s="8"/>
      <c r="I10" s="8" t="s">
        <v>1086</v>
      </c>
      <c r="J10" s="8" t="s">
        <v>75</v>
      </c>
      <c r="K10" s="5" t="inlineStr">
        <is>
          <t xml:space="preserve">Stock is checked again before an order is placed. Two buyers ordering at the same moment still need checking.</t>
        </is>
      </c>
      <c r="L10" s="5" t="inlineStr">
        <is>
          <t xml:space="preserve">Not Run</t>
        </is>
      </c>
      <c r="M10" s="5" t="inlineStr">
        <is>
          <t xml:space="preserve">Draft: Confirm the last unit cannot be sold twice.</t>
        </is>
      </c>
    </row>
    <row r="11" customFormat="false" ht="42" hidden="false" customHeight="true" outlineLevel="0" collapsed="false">
      <c r="A11" s="7" t="s">
        <v>1087</v>
      </c>
      <c r="B11" s="8" t="s">
        <v>1045</v>
      </c>
      <c r="C11" s="8" t="s">
        <v>1088</v>
      </c>
      <c r="D11" s="8" t="s">
        <v>54</v>
      </c>
      <c r="E11" s="8" t="s">
        <v>668</v>
      </c>
      <c r="F11" s="8" t="s">
        <v>1089</v>
      </c>
      <c r="G11" s="8" t="s">
        <v>1090</v>
      </c>
      <c r="H11" s="8"/>
      <c r="I11" s="8" t="s">
        <v>1091</v>
      </c>
      <c r="J11" s="8" t="s">
        <v>147</v>
      </c>
      <c r="K11" s="5" t="inlineStr">
        <is>
          <t xml:space="preserve">An invalidated voucher stops the order with an error, but the voucher and displayed total are not automatically refreshed.</t>
        </is>
      </c>
      <c r="L11" s="5" t="inlineStr">
        <is>
          <t xml:space="preserve">Not Run</t>
        </is>
      </c>
      <c r="M11" s="5" t="inlineStr">
        <is>
          <t xml:space="preserve">Draft: Remove the invalid voucher and show the corrected total.</t>
        </is>
      </c>
    </row>
    <row r="12" customFormat="false" ht="42" hidden="false" customHeight="true" outlineLevel="0" collapsed="false">
      <c r="A12" s="7" t="s">
        <v>1092</v>
      </c>
      <c r="B12" s="8" t="s">
        <v>1045</v>
      </c>
      <c r="C12" s="8" t="s">
        <v>1093</v>
      </c>
      <c r="D12" s="8" t="s">
        <v>54</v>
      </c>
      <c r="E12" s="8" t="s">
        <v>680</v>
      </c>
      <c r="F12" s="8" t="s">
        <v>681</v>
      </c>
      <c r="G12" s="8" t="s">
        <v>1094</v>
      </c>
      <c r="H12" s="8"/>
      <c r="I12" s="8" t="s">
        <v>1095</v>
      </c>
      <c r="J12" s="8" t="s">
        <v>778</v>
      </c>
      <c r="K12" s="5" t="inlineStr">
        <is>
          <t xml:space="preserve">Checkout uses the real product prices rather than accepting a replacement total supplied in the order request.</t>
        </is>
      </c>
      <c r="L12" s="5" t="inlineStr">
        <is>
          <t xml:space="preserve">Not Run</t>
        </is>
      </c>
      <c r="M12" s="5" t="inlineStr">
        <is>
          <t xml:space="preserve">Draft: Confirm a changed request cannot alter the amount charged.</t>
        </is>
      </c>
    </row>
    <row r="13" customFormat="false" ht="80.25" hidden="false" customHeight="true" outlineLevel="0" collapsed="false">
      <c r="A13" s="7" t="s">
        <v>1096</v>
      </c>
      <c r="B13" s="8" t="s">
        <v>1045</v>
      </c>
      <c r="C13" s="8" t="s">
        <v>1097</v>
      </c>
      <c r="D13" s="8" t="s">
        <v>54</v>
      </c>
      <c r="E13" s="8" t="s">
        <v>680</v>
      </c>
      <c r="F13" s="8" t="s">
        <v>1098</v>
      </c>
      <c r="G13" s="8" t="s">
        <v>1099</v>
      </c>
      <c r="H13" s="8" t="s">
        <v>1100</v>
      </c>
      <c r="I13" s="8" t="s">
        <v>1101</v>
      </c>
      <c r="J13" s="8" t="s">
        <v>1102</v>
      </c>
      <c r="K13" s="5" t="inlineStr">
        <is>
          <t xml:space="preserve">A connection error is shown if the request fails. The app does not check whether the order was already saved before offering another attempt.</t>
        </is>
      </c>
      <c r="L13" s="5" t="inlineStr">
        <is>
          <t xml:space="preserve">Not Run</t>
        </is>
      </c>
      <c r="M13" s="5" t="inlineStr">
        <is>
          <t xml:space="preserve">Draft: Recover the existing order after a lost response and avoid duplicates.</t>
        </is>
      </c>
    </row>
    <row r="14" customFormat="false" ht="54.75" hidden="false" customHeight="true" outlineLevel="0" collapsed="false">
      <c r="A14" s="7" t="s">
        <v>1103</v>
      </c>
      <c r="B14" s="8" t="s">
        <v>1045</v>
      </c>
      <c r="C14" s="8" t="s">
        <v>1104</v>
      </c>
      <c r="D14" s="8" t="s">
        <v>54</v>
      </c>
      <c r="E14" s="8" t="s">
        <v>668</v>
      </c>
      <c r="F14" s="8" t="s">
        <v>1105</v>
      </c>
      <c r="G14" s="8" t="s">
        <v>1106</v>
      </c>
      <c r="H14" s="8" t="s">
        <v>995</v>
      </c>
      <c r="I14" s="8" t="s">
        <v>1107</v>
      </c>
      <c r="J14" s="8" t="s">
        <v>201</v>
      </c>
      <c r="K14" s="5" t="inlineStr">
        <is>
          <t xml:space="preserve">Checkout selections stay with the open screen. Interruptions, app switching, and reopening after the phone closes the app still need checking.</t>
        </is>
      </c>
      <c r="L14" s="5" t="inlineStr">
        <is>
          <t xml:space="preserve">Not Run</t>
        </is>
      </c>
      <c r="M14" s="5" t="inlineStr">
        <is>
          <t xml:space="preserve">Draft: Check this on a phone with an address and voucher selected.</t>
        </is>
      </c>
    </row>
  </sheetData>
  <autoFilter ref="A1:M14"/>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29.25" hidden="false" customHeight="true" outlineLevel="0" collapsed="false">
      <c r="A2" s="7" t="s">
        <v>1108</v>
      </c>
      <c r="B2" s="8" t="s">
        <v>1109</v>
      </c>
      <c r="C2" s="8" t="s">
        <v>1110</v>
      </c>
      <c r="D2" s="8" t="s">
        <v>52</v>
      </c>
      <c r="E2" s="8" t="s">
        <v>680</v>
      </c>
      <c r="F2" s="8" t="s">
        <v>681</v>
      </c>
      <c r="G2" s="8" t="s">
        <v>1111</v>
      </c>
      <c r="H2" s="8"/>
      <c r="I2" s="8" t="s">
        <v>1112</v>
      </c>
      <c r="J2" s="8"/>
      <c r="K2" s="5" t="inlineStr">
        <is>
          <t xml:space="preserve">A COD order starts under To Ship with payment still pending. The example's ₱500 total differs because checkout does not add the shipping charge.</t>
        </is>
      </c>
      <c r="L2" s="5" t="inlineStr">
        <is>
          <t xml:space="preserve">Not Run</t>
        </is>
      </c>
      <c r="M2" s="5" t="inlineStr">
        <is>
          <t xml:space="preserve">Draft: Show the correct delivery-inclusive COD amount.</t>
        </is>
      </c>
    </row>
    <row r="3" customFormat="false" ht="42" hidden="false" customHeight="true" outlineLevel="0" collapsed="false">
      <c r="A3" s="7" t="s">
        <v>1113</v>
      </c>
      <c r="B3" s="8" t="s">
        <v>1109</v>
      </c>
      <c r="C3" s="8" t="s">
        <v>1114</v>
      </c>
      <c r="D3" s="8" t="s">
        <v>52</v>
      </c>
      <c r="E3" s="8" t="s">
        <v>680</v>
      </c>
      <c r="F3" s="8" t="s">
        <v>681</v>
      </c>
      <c r="G3" s="8" t="s">
        <v>1115</v>
      </c>
      <c r="H3" s="8" t="s">
        <v>1116</v>
      </c>
      <c r="I3" s="8" t="s">
        <v>1117</v>
      </c>
      <c r="J3" s="8"/>
      <c r="K3" s="5" t="inlineStr">
        <is>
          <t xml:space="preserve">Cash on Delivery is the only payment option. There is no e-wallet or card payment screen.</t>
        </is>
      </c>
      <c r="L3" s="5" t="inlineStr">
        <is>
          <t xml:space="preserve">Not Run</t>
        </is>
      </c>
      <c r="M3" s="5" t="inlineStr">
        <is>
          <t xml:space="preserve">Draft: Online payments are not available in this version.</t>
        </is>
      </c>
    </row>
    <row r="4" customFormat="false" ht="42" hidden="false" customHeight="true" outlineLevel="0" collapsed="false">
      <c r="A4" s="7" t="s">
        <v>1118</v>
      </c>
      <c r="B4" s="8" t="s">
        <v>1109</v>
      </c>
      <c r="C4" s="8" t="s">
        <v>1119</v>
      </c>
      <c r="D4" s="8" t="s">
        <v>44</v>
      </c>
      <c r="E4" s="8" t="s">
        <v>680</v>
      </c>
      <c r="F4" s="8" t="s">
        <v>681</v>
      </c>
      <c r="G4" s="8" t="s">
        <v>1120</v>
      </c>
      <c r="H4" s="8"/>
      <c r="I4" s="8" t="s">
        <v>1121</v>
      </c>
      <c r="J4" s="8"/>
      <c r="K4" s="5" t="inlineStr">
        <is>
          <t xml:space="preserve">There is no online-payment failure screen or Pay Again option.</t>
        </is>
      </c>
      <c r="L4" s="5" t="inlineStr">
        <is>
          <t xml:space="preserve">Not Run</t>
        </is>
      </c>
      <c r="M4" s="5" t="inlineStr">
        <is>
          <t xml:space="preserve">Draft: This depends on adding an online payment method.</t>
        </is>
      </c>
    </row>
    <row r="5" customFormat="false" ht="29.25" hidden="false" customHeight="true" outlineLevel="0" collapsed="false">
      <c r="A5" s="7" t="s">
        <v>1122</v>
      </c>
      <c r="B5" s="8" t="s">
        <v>1109</v>
      </c>
      <c r="C5" s="8" t="s">
        <v>1123</v>
      </c>
      <c r="D5" s="8" t="s">
        <v>44</v>
      </c>
      <c r="E5" s="8" t="s">
        <v>668</v>
      </c>
      <c r="F5" s="8" t="s">
        <v>681</v>
      </c>
      <c r="G5" s="8" t="s">
        <v>1124</v>
      </c>
      <c r="H5" s="8"/>
      <c r="I5" s="8" t="s">
        <v>1125</v>
      </c>
      <c r="J5" s="8" t="s">
        <v>177</v>
      </c>
      <c r="K5" s="5" t="inlineStr">
        <is>
          <t xml:space="preserve">Checkout does not open a payment gateway, so there is no gateway-cancellation flow.</t>
        </is>
      </c>
      <c r="L5" s="5" t="inlineStr">
        <is>
          <t xml:space="preserve">Not Run</t>
        </is>
      </c>
      <c r="M5" s="5" t="inlineStr">
        <is>
          <t xml:space="preserve">Draft: This flow is unavailable without online payments.</t>
        </is>
      </c>
    </row>
    <row r="6" customFormat="false" ht="67.5" hidden="false" customHeight="true" outlineLevel="0" collapsed="false">
      <c r="A6" s="7" t="s">
        <v>1126</v>
      </c>
      <c r="B6" s="8" t="s">
        <v>1109</v>
      </c>
      <c r="C6" s="8" t="s">
        <v>1127</v>
      </c>
      <c r="D6" s="8" t="s">
        <v>54</v>
      </c>
      <c r="E6" s="8" t="s">
        <v>668</v>
      </c>
      <c r="F6" s="8" t="s">
        <v>681</v>
      </c>
      <c r="G6" s="8" t="s">
        <v>1128</v>
      </c>
      <c r="H6" s="8"/>
      <c r="I6" s="8" t="s">
        <v>1129</v>
      </c>
      <c r="J6" s="8" t="s">
        <v>1130</v>
      </c>
      <c r="K6" s="5" t="inlineStr">
        <is>
          <t xml:space="preserve">There is no gateway payment or payment-reference update to check after closing the app.</t>
        </is>
      </c>
      <c r="L6" s="5" t="inlineStr">
        <is>
          <t xml:space="preserve">Not Run</t>
        </is>
      </c>
      <c r="M6" s="5" t="inlineStr">
        <is>
          <t xml:space="preserve">Draft: This depends on adding the online payment flow first.</t>
        </is>
      </c>
    </row>
    <row r="7" customFormat="false" ht="42" hidden="false" customHeight="true" outlineLevel="0" collapsed="false">
      <c r="A7" s="7" t="s">
        <v>1131</v>
      </c>
      <c r="B7" s="8" t="s">
        <v>1109</v>
      </c>
      <c r="C7" s="8" t="s">
        <v>1132</v>
      </c>
      <c r="D7" s="8" t="s">
        <v>50</v>
      </c>
      <c r="E7" s="8" t="s">
        <v>680</v>
      </c>
      <c r="F7" s="8" t="s">
        <v>1133</v>
      </c>
      <c r="G7" s="8" t="s">
        <v>1134</v>
      </c>
      <c r="H7" s="8"/>
      <c r="I7" s="8" t="s">
        <v>1135</v>
      </c>
      <c r="J7" s="8" t="s">
        <v>1136</v>
      </c>
      <c r="K7" s="5" t="inlineStr">
        <is>
          <t xml:space="preserve">There is no automatic cancellation for an unpaid online order.</t>
        </is>
      </c>
      <c r="L7" s="5" t="inlineStr">
        <is>
          <t xml:space="preserve">Not Run</t>
        </is>
      </c>
      <c r="M7" s="5" t="inlineStr">
        <is>
          <t xml:space="preserve">Draft: Add the unpaid-order deadline if online payments are introduced.</t>
        </is>
      </c>
    </row>
    <row r="8" customFormat="false" ht="42" hidden="false" customHeight="true" outlineLevel="0" collapsed="false">
      <c r="A8" s="7" t="s">
        <v>1137</v>
      </c>
      <c r="B8" s="8" t="s">
        <v>1109</v>
      </c>
      <c r="C8" s="8" t="s">
        <v>1138</v>
      </c>
      <c r="D8" s="8" t="s">
        <v>46</v>
      </c>
      <c r="E8" s="8" t="s">
        <v>668</v>
      </c>
      <c r="F8" s="8" t="s">
        <v>681</v>
      </c>
      <c r="G8" s="8" t="s">
        <v>1139</v>
      </c>
      <c r="H8" s="8"/>
      <c r="I8" s="8" t="s">
        <v>1140</v>
      </c>
      <c r="J8" s="8" t="s">
        <v>84</v>
      </c>
      <c r="K8" s="5" t="inlineStr">
        <is>
          <t xml:space="preserve">There is no one-hour payment window or Pay action for an unpaid online order.</t>
        </is>
      </c>
      <c r="L8" s="5" t="inlineStr">
        <is>
          <t xml:space="preserve">Not Run</t>
        </is>
      </c>
      <c r="M8" s="5" t="inlineStr">
        <is>
          <t xml:space="preserve">Draft: The fifty-nine- and sixty-one-minute cases cannot be completed in this version.</t>
        </is>
      </c>
    </row>
    <row r="9" customFormat="false" ht="67.5" hidden="false" customHeight="true" outlineLevel="0" collapsed="false">
      <c r="A9" s="7" t="s">
        <v>1141</v>
      </c>
      <c r="B9" s="8" t="s">
        <v>1109</v>
      </c>
      <c r="C9" s="8" t="s">
        <v>1142</v>
      </c>
      <c r="D9" s="8" t="s">
        <v>52</v>
      </c>
      <c r="E9" s="8" t="s">
        <v>680</v>
      </c>
      <c r="F9" s="8" t="s">
        <v>1143</v>
      </c>
      <c r="G9" s="8" t="s">
        <v>1144</v>
      </c>
      <c r="H9" s="8" t="s">
        <v>1145</v>
      </c>
      <c r="I9" s="8" t="s">
        <v>1146</v>
      </c>
      <c r="J9" s="8" t="s">
        <v>1130</v>
      </c>
      <c r="K9" s="5" t="inlineStr">
        <is>
          <t xml:space="preserve">The app does not open an e-wallet or return from an e-wallet payment.</t>
        </is>
      </c>
      <c r="L9" s="5" t="inlineStr">
        <is>
          <t xml:space="preserve">Not Run</t>
        </is>
      </c>
      <c r="M9" s="5" t="inlineStr">
        <is>
          <t xml:space="preserve">Draft: This requires an online payment method and a phone check.</t>
        </is>
      </c>
    </row>
    <row r="10" customFormat="false" ht="54.75" hidden="false" customHeight="true" outlineLevel="0" collapsed="false">
      <c r="A10" s="7" t="s">
        <v>1147</v>
      </c>
      <c r="B10" s="8" t="s">
        <v>1109</v>
      </c>
      <c r="C10" s="8" t="s">
        <v>1148</v>
      </c>
      <c r="D10" s="8" t="s">
        <v>54</v>
      </c>
      <c r="E10" s="8" t="s">
        <v>668</v>
      </c>
      <c r="F10" s="8" t="s">
        <v>1149</v>
      </c>
      <c r="G10" s="8" t="s">
        <v>1150</v>
      </c>
      <c r="H10" s="8"/>
      <c r="I10" s="8" t="s">
        <v>1151</v>
      </c>
      <c r="J10" s="8" t="s">
        <v>1152</v>
      </c>
      <c r="K10" s="5" t="inlineStr">
        <is>
          <t xml:space="preserve">There is no online-payment processing screen to leave with Back.</t>
        </is>
      </c>
      <c r="L10" s="5" t="inlineStr">
        <is>
          <t xml:space="preserve">Not Run</t>
        </is>
      </c>
      <c r="M10" s="5" t="inlineStr">
        <is>
          <t xml:space="preserve">Draft: Add payment recovery and Back handling when this flow is available.</t>
        </is>
      </c>
    </row>
  </sheetData>
  <autoFilter ref="A1:M10"/>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42" hidden="false" customHeight="true" outlineLevel="0" collapsed="false">
      <c r="A2" s="7" t="s">
        <v>1153</v>
      </c>
      <c r="B2" s="8" t="s">
        <v>1154</v>
      </c>
      <c r="C2" s="8" t="s">
        <v>1155</v>
      </c>
      <c r="D2" s="8" t="s">
        <v>50</v>
      </c>
      <c r="E2" s="8" t="s">
        <v>680</v>
      </c>
      <c r="F2" s="8" t="s">
        <v>1156</v>
      </c>
      <c r="G2" s="8" t="s">
        <v>1157</v>
      </c>
      <c r="H2" s="8"/>
      <c r="I2" s="8" t="s">
        <v>1158</v>
      </c>
      <c r="J2" s="8" t="s">
        <v>96</v>
      </c>
      <c r="K2" s="5" t="inlineStr">
        <is>
          <t xml:space="preserve">The order tabs are All, To Ship, In Transit, Delivered, and Cancelled. To Pay, Completed, and Return/Refund are not available.</t>
        </is>
      </c>
      <c r="L2" s="5" t="inlineStr">
        <is>
          <t xml:space="preserve">Not Run</t>
        </is>
      </c>
      <c r="M2" s="5" t="inlineStr">
        <is>
          <t xml:space="preserve">Draft: Match the order tabs to the agreed order flow.</t>
        </is>
      </c>
    </row>
    <row r="3" customFormat="false" ht="93" hidden="false" customHeight="true" outlineLevel="0" collapsed="false">
      <c r="A3" s="7" t="s">
        <v>1159</v>
      </c>
      <c r="B3" s="8" t="s">
        <v>1154</v>
      </c>
      <c r="C3" s="8" t="s">
        <v>1160</v>
      </c>
      <c r="D3" s="8" t="s">
        <v>50</v>
      </c>
      <c r="E3" s="8" t="s">
        <v>680</v>
      </c>
      <c r="F3" s="8" t="s">
        <v>1161</v>
      </c>
      <c r="G3" s="8" t="s">
        <v>1162</v>
      </c>
      <c r="H3" s="8"/>
      <c r="I3" s="8" t="s">
        <v>1163</v>
      </c>
      <c r="J3" s="8" t="s">
        <v>1164</v>
      </c>
      <c r="K3" s="5" t="inlineStr">
        <is>
          <t xml:space="preserve">Order details show saved status updates and a basic progress display. The complete hub-to-hub timeline still needs updates from the seller and delivery roles.</t>
        </is>
      </c>
      <c r="L3" s="5" t="inlineStr">
        <is>
          <t xml:space="preserve">Not Run</t>
        </is>
      </c>
      <c r="M3" s="5" t="inlineStr">
        <is>
          <t xml:space="preserve">Draft: Confirm every event using the connected delivery workflow.</t>
        </is>
      </c>
    </row>
    <row r="4" customFormat="false" ht="42" hidden="false" customHeight="true" outlineLevel="0" collapsed="false">
      <c r="A4" s="7" t="s">
        <v>1165</v>
      </c>
      <c r="B4" s="8" t="s">
        <v>1154</v>
      </c>
      <c r="C4" s="8" t="s">
        <v>1166</v>
      </c>
      <c r="D4" s="8" t="s">
        <v>50</v>
      </c>
      <c r="E4" s="8" t="s">
        <v>680</v>
      </c>
      <c r="F4" s="8" t="s">
        <v>1167</v>
      </c>
      <c r="G4" s="8" t="s">
        <v>1168</v>
      </c>
      <c r="H4" s="8"/>
      <c r="I4" s="8" t="s">
        <v>1169</v>
      </c>
      <c r="J4" s="8" t="s">
        <v>1170</v>
      </c>
      <c r="K4" s="5" t="inlineStr">
        <is>
          <t xml:space="preserve">There is no Order Received button to move a delivered order to Completed.</t>
        </is>
      </c>
      <c r="L4" s="5" t="inlineStr">
        <is>
          <t xml:space="preserve">Not Run</t>
        </is>
      </c>
      <c r="M4" s="5" t="inlineStr">
        <is>
          <t xml:space="preserve">Draft: Add buyer confirmation and the corresponding completion step.</t>
        </is>
      </c>
    </row>
    <row r="5" customFormat="false" ht="29.25" hidden="false" customHeight="true" outlineLevel="0" collapsed="false">
      <c r="A5" s="7" t="s">
        <v>1171</v>
      </c>
      <c r="B5" s="8" t="s">
        <v>1154</v>
      </c>
      <c r="C5" s="8" t="s">
        <v>1172</v>
      </c>
      <c r="D5" s="8" t="s">
        <v>50</v>
      </c>
      <c r="E5" s="8" t="s">
        <v>668</v>
      </c>
      <c r="F5" s="8" t="s">
        <v>1173</v>
      </c>
      <c r="G5" s="8" t="s">
        <v>1174</v>
      </c>
      <c r="H5" s="8"/>
      <c r="I5" s="8" t="s">
        <v>1175</v>
      </c>
      <c r="J5" s="8" t="s">
        <v>1176</v>
      </c>
      <c r="K5" s="5" t="inlineStr">
        <is>
          <t xml:space="preserve">Order Received is unavailable before delivery, but it is also unavailable after delivery.</t>
        </is>
      </c>
      <c r="L5" s="5" t="inlineStr">
        <is>
          <t xml:space="preserve">Not Run</t>
        </is>
      </c>
      <c r="M5" s="5" t="inlineStr">
        <is>
          <t xml:space="preserve">Draft: The intended delivery-based eligibility rule is not complete.</t>
        </is>
      </c>
    </row>
    <row r="6" customFormat="false" ht="29.25" hidden="false" customHeight="true" outlineLevel="0" collapsed="false">
      <c r="A6" s="7" t="s">
        <v>1177</v>
      </c>
      <c r="B6" s="8" t="s">
        <v>1154</v>
      </c>
      <c r="C6" s="8" t="s">
        <v>1178</v>
      </c>
      <c r="D6" s="8" t="s">
        <v>46</v>
      </c>
      <c r="E6" s="8" t="s">
        <v>668</v>
      </c>
      <c r="F6" s="8" t="s">
        <v>1179</v>
      </c>
      <c r="G6" s="8" t="s">
        <v>1180</v>
      </c>
      <c r="H6" s="8"/>
      <c r="I6" s="8" t="s">
        <v>1181</v>
      </c>
      <c r="J6" s="8" t="s">
        <v>99</v>
      </c>
      <c r="K6" s="5" t="inlineStr">
        <is>
          <t xml:space="preserve">There is no seven-day automatic completion step for delivered orders.</t>
        </is>
      </c>
      <c r="L6" s="5" t="inlineStr">
        <is>
          <t xml:space="preserve">Not Run</t>
        </is>
      </c>
      <c r="M6" s="5" t="inlineStr">
        <is>
          <t xml:space="preserve">Draft: Add completion after the agreed delivery window.</t>
        </is>
      </c>
    </row>
    <row r="7" customFormat="false" ht="29.25" hidden="false" customHeight="true" outlineLevel="0" collapsed="false">
      <c r="A7" s="7" t="s">
        <v>1182</v>
      </c>
      <c r="B7" s="8" t="s">
        <v>1154</v>
      </c>
      <c r="C7" s="8" t="s">
        <v>1183</v>
      </c>
      <c r="D7" s="8" t="s">
        <v>54</v>
      </c>
      <c r="E7" s="8" t="s">
        <v>680</v>
      </c>
      <c r="F7" s="8" t="s">
        <v>681</v>
      </c>
      <c r="G7" s="8" t="s">
        <v>1184</v>
      </c>
      <c r="H7" s="8"/>
      <c r="I7" s="8" t="s">
        <v>1185</v>
      </c>
      <c r="J7" s="8" t="s">
        <v>778</v>
      </c>
      <c r="K7" s="5" t="inlineStr">
        <is>
          <t xml:space="preserve">Order details are limited to orders belonging to the signed-in buyer. Another buyer's order is not included in that lookup.</t>
        </is>
      </c>
      <c r="L7" s="5" t="inlineStr">
        <is>
          <t xml:space="preserve">Not Run</t>
        </is>
      </c>
      <c r="M7" s="5" t="inlineStr">
        <is>
          <t xml:space="preserve">Draft: Confirm access is refused with two separate test accounts.</t>
        </is>
      </c>
    </row>
    <row r="8" customFormat="false" ht="67.5" hidden="false" customHeight="true" outlineLevel="0" collapsed="false">
      <c r="A8" s="7" t="s">
        <v>1186</v>
      </c>
      <c r="B8" s="8" t="s">
        <v>1154</v>
      </c>
      <c r="C8" s="8" t="s">
        <v>1187</v>
      </c>
      <c r="D8" s="8" t="s">
        <v>50</v>
      </c>
      <c r="E8" s="8" t="s">
        <v>680</v>
      </c>
      <c r="F8" s="8" t="s">
        <v>1188</v>
      </c>
      <c r="G8" s="8" t="s">
        <v>1189</v>
      </c>
      <c r="H8" s="8"/>
      <c r="I8" s="8" t="s">
        <v>1190</v>
      </c>
      <c r="J8" s="8" t="s">
        <v>1191</v>
      </c>
      <c r="K8" s="5" t="inlineStr">
        <is>
          <t xml:space="preserve">Order updates can appear in the in-app inbox, but there is no phone push notification that opens the related order.</t>
        </is>
      </c>
      <c r="L8" s="5" t="inlineStr">
        <is>
          <t xml:space="preserve">Not Run</t>
        </is>
      </c>
      <c r="M8" s="5" t="inlineStr">
        <is>
          <t xml:space="preserve">Draft: Add push notifications and the matching order link.</t>
        </is>
      </c>
    </row>
  </sheetData>
  <autoFilter ref="A1:M8"/>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54.75" hidden="false" customHeight="true" outlineLevel="0" collapsed="false">
      <c r="A2" s="7" t="s">
        <v>1192</v>
      </c>
      <c r="B2" s="8" t="s">
        <v>1193</v>
      </c>
      <c r="C2" s="8" t="s">
        <v>1194</v>
      </c>
      <c r="D2" s="8" t="s">
        <v>50</v>
      </c>
      <c r="E2" s="8" t="s">
        <v>680</v>
      </c>
      <c r="F2" s="8" t="s">
        <v>1195</v>
      </c>
      <c r="G2" s="8" t="s">
        <v>1196</v>
      </c>
      <c r="H2" s="8"/>
      <c r="I2" s="8" t="s">
        <v>1197</v>
      </c>
      <c r="J2" s="8" t="s">
        <v>1198</v>
      </c>
      <c r="K2" s="5" t="inlineStr">
        <is>
          <t xml:space="preserve">A pending or confirmed order can be cancelled after a confirmation message. A reason is not collected, and stock restoration differs for variation purchases.</t>
        </is>
      </c>
      <c r="L2" s="5" t="inlineStr">
        <is>
          <t xml:space="preserve">Not Run</t>
        </is>
      </c>
      <c r="M2" s="5" t="inlineStr">
        <is>
          <t xml:space="preserve">Draft: Collect the reason and restore stock to the exact variation bought.</t>
        </is>
      </c>
    </row>
    <row r="3" customFormat="false" ht="29.25" hidden="false" customHeight="true" outlineLevel="0" collapsed="false">
      <c r="A3" s="7" t="s">
        <v>1199</v>
      </c>
      <c r="B3" s="8" t="s">
        <v>1193</v>
      </c>
      <c r="C3" s="8" t="s">
        <v>1200</v>
      </c>
      <c r="D3" s="8" t="s">
        <v>44</v>
      </c>
      <c r="E3" s="8" t="s">
        <v>668</v>
      </c>
      <c r="F3" s="8" t="s">
        <v>681</v>
      </c>
      <c r="G3" s="8" t="s">
        <v>1201</v>
      </c>
      <c r="H3" s="8"/>
      <c r="I3" s="8" t="s">
        <v>1202</v>
      </c>
      <c r="J3" s="8"/>
      <c r="K3" s="5" t="inlineStr">
        <is>
          <t xml:space="preserve">Cancellation only asks for confirmation and does not require a reason.</t>
        </is>
      </c>
      <c r="L3" s="5" t="inlineStr">
        <is>
          <t xml:space="preserve">Not Run</t>
        </is>
      </c>
      <c r="M3" s="5" t="inlineStr">
        <is>
          <t xml:space="preserve">Draft: Ask the buyer to choose a reason before cancelling.</t>
        </is>
      </c>
    </row>
    <row r="4" customFormat="false" ht="42" hidden="false" customHeight="true" outlineLevel="0" collapsed="false">
      <c r="A4" s="7" t="s">
        <v>1203</v>
      </c>
      <c r="B4" s="8" t="s">
        <v>1193</v>
      </c>
      <c r="C4" s="8" t="s">
        <v>1204</v>
      </c>
      <c r="D4" s="8" t="s">
        <v>50</v>
      </c>
      <c r="E4" s="8" t="s">
        <v>680</v>
      </c>
      <c r="F4" s="8" t="s">
        <v>1205</v>
      </c>
      <c r="G4" s="8" t="s">
        <v>1206</v>
      </c>
      <c r="H4" s="8"/>
      <c r="I4" s="8" t="s">
        <v>1207</v>
      </c>
      <c r="J4" s="8" t="s">
        <v>1208</v>
      </c>
      <c r="K4" s="5" t="inlineStr">
        <is>
          <t xml:space="preserve">Prepaid orders and automatic refunds are not available. Cancelling also does not restore the voucher's usage.</t>
        </is>
      </c>
      <c r="L4" s="5" t="inlineStr">
        <is>
          <t xml:space="preserve">Not Run</t>
        </is>
      </c>
      <c r="M4" s="5" t="inlineStr">
        <is>
          <t xml:space="preserve">Draft: Add the refund and voucher-return flow for prepaid cancellations.</t>
        </is>
      </c>
    </row>
    <row r="5" customFormat="false" ht="42" hidden="false" customHeight="true" outlineLevel="0" collapsed="false">
      <c r="A5" s="7" t="s">
        <v>1209</v>
      </c>
      <c r="B5" s="8" t="s">
        <v>1193</v>
      </c>
      <c r="C5" s="8" t="s">
        <v>1210</v>
      </c>
      <c r="D5" s="8" t="s">
        <v>50</v>
      </c>
      <c r="E5" s="8" t="s">
        <v>680</v>
      </c>
      <c r="F5" s="8" t="s">
        <v>1211</v>
      </c>
      <c r="G5" s="8" t="s">
        <v>1212</v>
      </c>
      <c r="H5" s="8"/>
      <c r="I5" s="8" t="s">
        <v>1213</v>
      </c>
      <c r="J5" s="8" t="s">
        <v>1214</v>
      </c>
      <c r="K5" s="5" t="inlineStr">
        <is>
          <t xml:space="preserve">Cancel is offered only for pending and confirmed orders. The Ready for Pickup step still needs checking against the seller's order flow.</t>
        </is>
      </c>
      <c r="L5" s="5" t="inlineStr">
        <is>
          <t xml:space="preserve">Not Run</t>
        </is>
      </c>
      <c r="M5" s="5" t="inlineStr">
        <is>
          <t xml:space="preserve">Draft: Confirm cancellation is unavailable once pickup preparation reaches the agreed cutoff.</t>
        </is>
      </c>
    </row>
    <row r="6" customFormat="false" ht="29.25" hidden="false" customHeight="true" outlineLevel="0" collapsed="false">
      <c r="A6" s="7" t="s">
        <v>1215</v>
      </c>
      <c r="B6" s="8" t="s">
        <v>1193</v>
      </c>
      <c r="C6" s="8" t="s">
        <v>1216</v>
      </c>
      <c r="D6" s="8" t="s">
        <v>50</v>
      </c>
      <c r="E6" s="8" t="s">
        <v>680</v>
      </c>
      <c r="F6" s="8" t="s">
        <v>1217</v>
      </c>
      <c r="G6" s="8" t="s">
        <v>1218</v>
      </c>
      <c r="H6" s="8"/>
      <c r="I6" s="8" t="s">
        <v>1219</v>
      </c>
      <c r="J6" s="8" t="s">
        <v>84</v>
      </c>
      <c r="K6" s="5" t="inlineStr">
        <is>
          <t xml:space="preserve">Cancel is hidden after the order leaves pending or confirmed, and later cancellation requests are rejected.</t>
        </is>
      </c>
      <c r="L6" s="5" t="inlineStr">
        <is>
          <t xml:space="preserve">Not Run</t>
        </is>
      </c>
      <c r="M6" s="5" t="inlineStr">
        <is>
          <t xml:space="preserve">Draft: Confirm both the screen and a direct request reject cancellation after shipping.</t>
        </is>
      </c>
    </row>
    <row r="7" customFormat="false" ht="29.25" hidden="false" customHeight="true" outlineLevel="0" collapsed="false">
      <c r="A7" s="7" t="s">
        <v>1220</v>
      </c>
      <c r="B7" s="8" t="s">
        <v>1193</v>
      </c>
      <c r="C7" s="8" t="s">
        <v>1221</v>
      </c>
      <c r="D7" s="8" t="s">
        <v>54</v>
      </c>
      <c r="E7" s="8" t="s">
        <v>755</v>
      </c>
      <c r="F7" s="8" t="s">
        <v>681</v>
      </c>
      <c r="G7" s="8" t="s">
        <v>1222</v>
      </c>
      <c r="H7" s="8"/>
      <c r="I7" s="8" t="s">
        <v>1223</v>
      </c>
      <c r="J7" s="8" t="s">
        <v>177</v>
      </c>
      <c r="K7" s="5" t="inlineStr">
        <is>
          <t xml:space="preserve">A repeat cancellation is rejected after the order is already cancelled. Simultaneous taps still need checking to confirm stock is restored only once.</t>
        </is>
      </c>
      <c r="L7" s="5" t="inlineStr">
        <is>
          <t xml:space="preserve">Not Run</t>
        </is>
      </c>
      <c r="M7" s="5" t="inlineStr">
        <is>
          <t xml:space="preserve">Draft: Confirm one cancellation and one stock restoration.</t>
        </is>
      </c>
    </row>
  </sheetData>
  <autoFilter ref="A1:M7"/>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67.5" hidden="false" customHeight="true" outlineLevel="0" collapsed="false">
      <c r="A2" s="7" t="s">
        <v>1224</v>
      </c>
      <c r="B2" s="8" t="s">
        <v>1225</v>
      </c>
      <c r="C2" s="8" t="s">
        <v>1226</v>
      </c>
      <c r="D2" s="8" t="s">
        <v>52</v>
      </c>
      <c r="E2" s="8" t="s">
        <v>680</v>
      </c>
      <c r="F2" s="8" t="s">
        <v>1227</v>
      </c>
      <c r="G2" s="8" t="s">
        <v>1228</v>
      </c>
      <c r="H2" s="8" t="s">
        <v>1229</v>
      </c>
      <c r="I2" s="8" t="s">
        <v>1230</v>
      </c>
      <c r="J2" s="8" t="s">
        <v>1231</v>
      </c>
      <c r="K2" s="5" t="inlineStr">
        <is>
          <t xml:space="preserve">There is no Return/Refund option for submitting a damaged-item request with photos.</t>
        </is>
      </c>
      <c r="L2" s="5" t="inlineStr">
        <is>
          <t xml:space="preserve">Not Run</t>
        </is>
      </c>
      <c r="M2" s="5" t="inlineStr">
        <is>
          <t xml:space="preserve">Draft: Add the return-request form and its order status.</t>
        </is>
      </c>
    </row>
    <row r="3" customFormat="false" ht="29.25" hidden="false" customHeight="true" outlineLevel="0" collapsed="false">
      <c r="A3" s="7" t="s">
        <v>1232</v>
      </c>
      <c r="B3" s="8" t="s">
        <v>1225</v>
      </c>
      <c r="C3" s="8" t="s">
        <v>1233</v>
      </c>
      <c r="D3" s="8" t="s">
        <v>50</v>
      </c>
      <c r="E3" s="8" t="s">
        <v>680</v>
      </c>
      <c r="F3" s="8" t="s">
        <v>1234</v>
      </c>
      <c r="G3" s="8" t="s">
        <v>1235</v>
      </c>
      <c r="H3" s="8"/>
      <c r="I3" s="8" t="s">
        <v>1236</v>
      </c>
      <c r="J3" s="8" t="s">
        <v>99</v>
      </c>
      <c r="K3" s="5" t="inlineStr">
        <is>
          <t xml:space="preserve">Returns are unavailable before delivery and after delivery, so the intended delivery-based restriction cannot be checked.</t>
        </is>
      </c>
      <c r="L3" s="5" t="inlineStr">
        <is>
          <t xml:space="preserve">Not Run</t>
        </is>
      </c>
      <c r="M3" s="5" t="inlineStr">
        <is>
          <t xml:space="preserve">Draft: This depends on having a working return-request feature.</t>
        </is>
      </c>
    </row>
    <row r="4" customFormat="false" ht="42" hidden="false" customHeight="true" outlineLevel="0" collapsed="false">
      <c r="A4" s="7" t="s">
        <v>1237</v>
      </c>
      <c r="B4" s="8" t="s">
        <v>1225</v>
      </c>
      <c r="C4" s="8" t="s">
        <v>1238</v>
      </c>
      <c r="D4" s="8" t="s">
        <v>46</v>
      </c>
      <c r="E4" s="8" t="s">
        <v>680</v>
      </c>
      <c r="F4" s="8" t="s">
        <v>681</v>
      </c>
      <c r="G4" s="8" t="s">
        <v>1239</v>
      </c>
      <c r="H4" s="8"/>
      <c r="I4" s="8" t="s">
        <v>1240</v>
      </c>
      <c r="J4" s="8" t="s">
        <v>99</v>
      </c>
      <c r="K4" s="5" t="inlineStr">
        <is>
          <t xml:space="preserve">There is no return-request window, so the seven-day boundary cannot be checked.</t>
        </is>
      </c>
      <c r="L4" s="5" t="inlineStr">
        <is>
          <t xml:space="preserve">Not Run</t>
        </is>
      </c>
      <c r="M4" s="5" t="inlineStr">
        <is>
          <t xml:space="preserve">Draft: Add the return window before checking its limits.</t>
        </is>
      </c>
    </row>
    <row r="5" customFormat="false" ht="54.75" hidden="false" customHeight="true" outlineLevel="0" collapsed="false">
      <c r="A5" s="7" t="s">
        <v>1241</v>
      </c>
      <c r="B5" s="8" t="s">
        <v>1225</v>
      </c>
      <c r="C5" s="8" t="s">
        <v>1242</v>
      </c>
      <c r="D5" s="8" t="s">
        <v>46</v>
      </c>
      <c r="E5" s="8" t="s">
        <v>668</v>
      </c>
      <c r="F5" s="8" t="s">
        <v>681</v>
      </c>
      <c r="G5" s="8" t="s">
        <v>1243</v>
      </c>
      <c r="H5" s="8"/>
      <c r="I5" s="8" t="s">
        <v>1244</v>
      </c>
      <c r="J5" s="8" t="s">
        <v>159</v>
      </c>
      <c r="K5" s="5" t="inlineStr">
        <is>
          <t xml:space="preserve">There is no return form for entering a description or attaching evidence.</t>
        </is>
      </c>
      <c r="L5" s="5" t="inlineStr">
        <is>
          <t xml:space="preserve">Not Run</t>
        </is>
      </c>
      <c r="M5" s="5" t="inlineStr">
        <is>
          <t xml:space="preserve">Draft: Add the required description and photo checks with the return feature.</t>
        </is>
      </c>
    </row>
    <row r="6" customFormat="false" ht="29.25" hidden="false" customHeight="true" outlineLevel="0" collapsed="false">
      <c r="A6" s="7" t="s">
        <v>1245</v>
      </c>
      <c r="B6" s="8" t="s">
        <v>1225</v>
      </c>
      <c r="C6" s="8" t="s">
        <v>1246</v>
      </c>
      <c r="D6" s="8" t="s">
        <v>50</v>
      </c>
      <c r="E6" s="8" t="s">
        <v>668</v>
      </c>
      <c r="F6" s="8" t="s">
        <v>1247</v>
      </c>
      <c r="G6" s="8" t="s">
        <v>1248</v>
      </c>
      <c r="H6" s="8"/>
      <c r="I6" s="8" t="s">
        <v>1249</v>
      </c>
      <c r="J6" s="8" t="s">
        <v>159</v>
      </c>
      <c r="K6" s="5" t="inlineStr">
        <is>
          <t xml:space="preserve">Return-request status, rejection reasons, and an Escalate option are not available.</t>
        </is>
      </c>
      <c r="L6" s="5" t="inlineStr">
        <is>
          <t xml:space="preserve">Not Run</t>
        </is>
      </c>
      <c r="M6" s="5" t="inlineStr">
        <is>
          <t xml:space="preserve">Draft: Let the buyer follow the request and respond to a rejection.</t>
        </is>
      </c>
    </row>
    <row r="7" customFormat="false" ht="67.5" hidden="false" customHeight="true" outlineLevel="0" collapsed="false">
      <c r="A7" s="7" t="s">
        <v>1250</v>
      </c>
      <c r="B7" s="8" t="s">
        <v>1225</v>
      </c>
      <c r="C7" s="8" t="s">
        <v>1251</v>
      </c>
      <c r="D7" s="8" t="s">
        <v>52</v>
      </c>
      <c r="E7" s="8" t="s">
        <v>668</v>
      </c>
      <c r="F7" s="8" t="s">
        <v>1252</v>
      </c>
      <c r="G7" s="8" t="s">
        <v>1253</v>
      </c>
      <c r="H7" s="8" t="s">
        <v>1254</v>
      </c>
      <c r="I7" s="8" t="s">
        <v>1255</v>
      </c>
      <c r="J7" s="8" t="s">
        <v>1256</v>
      </c>
      <c r="K7" s="5" t="inlineStr">
        <is>
          <t xml:space="preserve">There is no return-evidence picker for taking or selecting photos.</t>
        </is>
      </c>
      <c r="L7" s="5" t="inlineStr">
        <is>
          <t xml:space="preserve">Not Run</t>
        </is>
      </c>
      <c r="M7" s="5" t="inlineStr">
        <is>
          <t xml:space="preserve">Draft: Add evidence uploads, then check camera and gallery behaviour on a phone.</t>
        </is>
      </c>
    </row>
  </sheetData>
  <autoFilter ref="A1:M7"/>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54.75" hidden="false" customHeight="true" outlineLevel="0" collapsed="false">
      <c r="A2" s="7" t="s">
        <v>1257</v>
      </c>
      <c r="B2" s="8" t="s">
        <v>1258</v>
      </c>
      <c r="C2" s="8" t="s">
        <v>1259</v>
      </c>
      <c r="D2" s="8" t="s">
        <v>52</v>
      </c>
      <c r="E2" s="8" t="s">
        <v>680</v>
      </c>
      <c r="F2" s="8" t="s">
        <v>1260</v>
      </c>
      <c r="G2" s="8" t="s">
        <v>1261</v>
      </c>
      <c r="H2" s="8" t="s">
        <v>1262</v>
      </c>
      <c r="I2" s="8" t="s">
        <v>1263</v>
      </c>
      <c r="J2" s="8" t="s">
        <v>102</v>
      </c>
      <c r="K2" s="5" t="inlineStr">
        <is>
          <t xml:space="preserve">Delivered orders can be rated with stars and a written comment. Review photos, masked names, and the full variation display are not provided as described.</t>
        </is>
      </c>
      <c r="L2" s="5" t="inlineStr">
        <is>
          <t xml:space="preserve">Not Run</t>
        </is>
      </c>
      <c r="M2" s="5" t="inlineStr">
        <is>
          <t xml:space="preserve">Draft: Complete the review details and photo attachments.</t>
        </is>
      </c>
    </row>
    <row r="3" customFormat="false" ht="29.25" hidden="false" customHeight="true" outlineLevel="0" collapsed="false">
      <c r="A3" s="7" t="s">
        <v>1264</v>
      </c>
      <c r="B3" s="8" t="s">
        <v>1258</v>
      </c>
      <c r="C3" s="8" t="s">
        <v>1265</v>
      </c>
      <c r="D3" s="8" t="s">
        <v>50</v>
      </c>
      <c r="E3" s="8" t="s">
        <v>680</v>
      </c>
      <c r="F3" s="8" t="s">
        <v>1266</v>
      </c>
      <c r="G3" s="8" t="s">
        <v>1267</v>
      </c>
      <c r="H3" s="8"/>
      <c r="I3" s="8" t="s">
        <v>1268</v>
      </c>
      <c r="J3" s="8" t="s">
        <v>1269</v>
      </c>
      <c r="K3" s="5" t="inlineStr">
        <is>
          <t xml:space="preserve">The rating button is shown for delivered orders, but a direct rating submission is not restricted to completed or delivered orders.</t>
        </is>
      </c>
      <c r="L3" s="5" t="inlineStr">
        <is>
          <t xml:space="preserve">Not Run</t>
        </is>
      </c>
      <c r="M3" s="5" t="inlineStr">
        <is>
          <t xml:space="preserve">Draft: Enforce review eligibility even when the button is bypassed.</t>
        </is>
      </c>
    </row>
    <row r="4" customFormat="false" ht="29.25" hidden="false" customHeight="true" outlineLevel="0" collapsed="false">
      <c r="A4" s="7" t="s">
        <v>1270</v>
      </c>
      <c r="B4" s="8" t="s">
        <v>1258</v>
      </c>
      <c r="C4" s="8" t="s">
        <v>1271</v>
      </c>
      <c r="D4" s="8" t="s">
        <v>44</v>
      </c>
      <c r="E4" s="8" t="s">
        <v>668</v>
      </c>
      <c r="F4" s="8" t="s">
        <v>1272</v>
      </c>
      <c r="G4" s="8" t="s">
        <v>1273</v>
      </c>
      <c r="H4" s="8"/>
      <c r="I4" s="8" t="s">
        <v>1274</v>
      </c>
      <c r="J4" s="8" t="s">
        <v>102</v>
      </c>
      <c r="K4" s="5" t="inlineStr">
        <is>
          <t xml:space="preserve">Submitting another review updates the existing review instead of creating a second one. The screen does not switch to an Edit-only option.</t>
        </is>
      </c>
      <c r="L4" s="5" t="inlineStr">
        <is>
          <t xml:space="preserve">Not Run</t>
        </is>
      </c>
      <c r="M4" s="5" t="inlineStr">
        <is>
          <t xml:space="preserve">Draft: Show the existing review and provide Edit instead of another new submission.</t>
        </is>
      </c>
    </row>
    <row r="5" customFormat="false" ht="54.75" hidden="false" customHeight="true" outlineLevel="0" collapsed="false">
      <c r="A5" s="7" t="s">
        <v>1275</v>
      </c>
      <c r="B5" s="8" t="s">
        <v>1258</v>
      </c>
      <c r="C5" s="8" t="s">
        <v>1276</v>
      </c>
      <c r="D5" s="8" t="s">
        <v>46</v>
      </c>
      <c r="E5" s="8" t="s">
        <v>668</v>
      </c>
      <c r="F5" s="8" t="s">
        <v>681</v>
      </c>
      <c r="G5" s="8" t="s">
        <v>1277</v>
      </c>
      <c r="H5" s="8"/>
      <c r="I5" s="8" t="s">
        <v>1278</v>
      </c>
      <c r="J5" s="8" t="s">
        <v>102</v>
      </c>
      <c r="K5" s="5" t="inlineStr">
        <is>
          <t xml:space="preserve">Ratings are limited to one through five stars, but comments allow 2,000 characters rather than 500. Review photos are unavailable.</t>
        </is>
      </c>
      <c r="L5" s="5" t="inlineStr">
        <is>
          <t xml:space="preserve">Not Run</t>
        </is>
      </c>
      <c r="M5" s="5" t="inlineStr">
        <is>
          <t xml:space="preserve">Draft: Apply the agreed text and photo limits.</t>
        </is>
      </c>
    </row>
    <row r="6" customFormat="false" ht="54.75" hidden="false" customHeight="true" outlineLevel="0" collapsed="false">
      <c r="A6" s="7" t="s">
        <v>1279</v>
      </c>
      <c r="B6" s="8" t="s">
        <v>1258</v>
      </c>
      <c r="C6" s="8" t="s">
        <v>1280</v>
      </c>
      <c r="D6" s="8" t="s">
        <v>50</v>
      </c>
      <c r="E6" s="8" t="s">
        <v>755</v>
      </c>
      <c r="F6" s="8" t="s">
        <v>681</v>
      </c>
      <c r="G6" s="8" t="s">
        <v>1281</v>
      </c>
      <c r="H6" s="8"/>
      <c r="I6" s="8" t="s">
        <v>1282</v>
      </c>
      <c r="J6" s="8" t="s">
        <v>102</v>
      </c>
      <c r="K6" s="5" t="inlineStr">
        <is>
          <t xml:space="preserve">There is no one-edit limit or thirty-day deadline on changing a review.</t>
        </is>
      </c>
      <c r="L6" s="5" t="inlineStr">
        <is>
          <t xml:space="preserve">Not Run</t>
        </is>
      </c>
      <c r="M6" s="5" t="inlineStr">
        <is>
          <t xml:space="preserve">Draft: Limit edits and stop changes after the agreed window.</t>
        </is>
      </c>
    </row>
    <row r="7" customFormat="false" ht="29.25" hidden="false" customHeight="true" outlineLevel="0" collapsed="false">
      <c r="A7" s="7" t="s">
        <v>1283</v>
      </c>
      <c r="B7" s="8" t="s">
        <v>1258</v>
      </c>
      <c r="C7" s="8" t="s">
        <v>1284</v>
      </c>
      <c r="D7" s="8" t="s">
        <v>52</v>
      </c>
      <c r="E7" s="8" t="s">
        <v>668</v>
      </c>
      <c r="F7" s="8" t="s">
        <v>1285</v>
      </c>
      <c r="G7" s="8" t="s">
        <v>1286</v>
      </c>
      <c r="H7" s="8"/>
      <c r="I7" s="8" t="s">
        <v>1287</v>
      </c>
      <c r="J7" s="8"/>
      <c r="K7" s="5" t="inlineStr">
        <is>
          <t xml:space="preserve">The product's average rating is recalculated from visible reviews. A five-star and a one-star review would give an average of 3.0.</t>
        </is>
      </c>
      <c r="L7" s="5" t="inlineStr">
        <is>
          <t xml:space="preserve">Not Run</t>
        </is>
      </c>
      <c r="M7" s="5" t="inlineStr">
        <is>
          <t xml:space="preserve">Draft: Confirm both the average and review count on the product and search listing.</t>
        </is>
      </c>
    </row>
    <row r="8" customFormat="false" ht="42" hidden="false" customHeight="true" outlineLevel="0" collapsed="false">
      <c r="A8" s="7" t="s">
        <v>1288</v>
      </c>
      <c r="B8" s="8" t="s">
        <v>1258</v>
      </c>
      <c r="C8" s="8" t="s">
        <v>1289</v>
      </c>
      <c r="D8" s="8" t="s">
        <v>46</v>
      </c>
      <c r="E8" s="8" t="s">
        <v>755</v>
      </c>
      <c r="F8" s="8" t="s">
        <v>1290</v>
      </c>
      <c r="G8" s="8" t="s">
        <v>1291</v>
      </c>
      <c r="H8" s="8"/>
      <c r="I8" s="8" t="s">
        <v>1292</v>
      </c>
      <c r="J8" s="8" t="s">
        <v>1293</v>
      </c>
      <c r="K8" s="5" t="inlineStr">
        <is>
          <t xml:space="preserve">There is no camera or multi-photo selection option in the review form.</t>
        </is>
      </c>
      <c r="L8" s="5" t="inlineStr">
        <is>
          <t xml:space="preserve">Not Run</t>
        </is>
      </c>
      <c r="M8" s="5" t="inlineStr">
        <is>
          <t xml:space="preserve">Draft: Add review photos and enforce the five-photo limit.</t>
        </is>
      </c>
    </row>
  </sheetData>
  <autoFilter ref="A1:M8"/>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29.25" hidden="false" customHeight="true" outlineLevel="0" collapsed="false">
      <c r="A2" s="7" t="s">
        <v>1294</v>
      </c>
      <c r="B2" s="8" t="s">
        <v>1295</v>
      </c>
      <c r="C2" s="8" t="s">
        <v>1296</v>
      </c>
      <c r="D2" s="8" t="s">
        <v>52</v>
      </c>
      <c r="E2" s="8" t="s">
        <v>668</v>
      </c>
      <c r="F2" s="8" t="s">
        <v>681</v>
      </c>
      <c r="G2" s="8" t="s">
        <v>1297</v>
      </c>
      <c r="H2" s="8" t="s">
        <v>1298</v>
      </c>
      <c r="I2" s="8" t="s">
        <v>1299</v>
      </c>
      <c r="J2" s="8"/>
      <c r="K2" s="5" t="inlineStr">
        <is>
          <t xml:space="preserve">The app supports text conversations with a seller, but not photo attachments or a product card in the conversation. The main product Chat shortcut opens the message list.</t>
        </is>
      </c>
      <c r="L2" s="5" t="inlineStr">
        <is>
          <t xml:space="preserve">Not Run</t>
        </is>
      </c>
      <c r="M2" s="5" t="inlineStr">
        <is>
          <t xml:space="preserve">Draft: Open the correct seller conversation and include the product and photo.</t>
        </is>
      </c>
    </row>
    <row r="3" customFormat="false" ht="42" hidden="false" customHeight="true" outlineLevel="0" collapsed="false">
      <c r="A3" s="7" t="s">
        <v>1300</v>
      </c>
      <c r="B3" s="8" t="s">
        <v>1295</v>
      </c>
      <c r="C3" s="8" t="s">
        <v>1301</v>
      </c>
      <c r="D3" s="8" t="s">
        <v>46</v>
      </c>
      <c r="E3" s="8" t="s">
        <v>755</v>
      </c>
      <c r="F3" s="8" t="s">
        <v>681</v>
      </c>
      <c r="G3" s="8" t="s">
        <v>1302</v>
      </c>
      <c r="H3" s="8"/>
      <c r="I3" s="8" t="s">
        <v>1303</v>
      </c>
      <c r="J3" s="8" t="s">
        <v>1304</v>
      </c>
      <c r="K3" s="5" t="inlineStr">
        <is>
          <t xml:space="preserve">Messages allow up to 2,000 characters, so a 1,001-character message is not blocked by the stated limit. Attachments are unavailable.</t>
        </is>
      </c>
      <c r="L3" s="5" t="inlineStr">
        <is>
          <t xml:space="preserve">Not Run</t>
        </is>
      </c>
      <c r="M3" s="5" t="inlineStr">
        <is>
          <t xml:space="preserve">Draft: Apply the agreed message limit and add safe attachment checks.</t>
        </is>
      </c>
    </row>
    <row r="4" customFormat="false" ht="29.25" hidden="false" customHeight="true" outlineLevel="0" collapsed="false">
      <c r="A4" s="7" t="s">
        <v>1305</v>
      </c>
      <c r="B4" s="8" t="s">
        <v>1295</v>
      </c>
      <c r="C4" s="8" t="s">
        <v>1306</v>
      </c>
      <c r="D4" s="8" t="s">
        <v>50</v>
      </c>
      <c r="E4" s="8" t="s">
        <v>680</v>
      </c>
      <c r="F4" s="8" t="s">
        <v>681</v>
      </c>
      <c r="G4" s="8" t="s">
        <v>1307</v>
      </c>
      <c r="H4" s="8"/>
      <c r="I4" s="8" t="s">
        <v>1308</v>
      </c>
      <c r="J4" s="8" t="s">
        <v>135</v>
      </c>
      <c r="K4" s="5" t="inlineStr">
        <is>
          <t xml:space="preserve">The notification inbox shows order-history updates and can open the related order. Exactly one notification per change still needs checking.</t>
        </is>
      </c>
      <c r="L4" s="5" t="inlineStr">
        <is>
          <t xml:space="preserve">Not Run</t>
        </is>
      </c>
      <c r="M4" s="5" t="inlineStr">
        <is>
          <t xml:space="preserve">Draft: Confirm the count and destination for each order update.</t>
        </is>
      </c>
    </row>
    <row r="5" customFormat="false" ht="29.25" hidden="false" customHeight="true" outlineLevel="0" collapsed="false">
      <c r="A5" s="7" t="s">
        <v>1309</v>
      </c>
      <c r="B5" s="8" t="s">
        <v>1295</v>
      </c>
      <c r="C5" s="8" t="s">
        <v>1310</v>
      </c>
      <c r="D5" s="8" t="s">
        <v>44</v>
      </c>
      <c r="E5" s="8" t="s">
        <v>755</v>
      </c>
      <c r="F5" s="8" t="s">
        <v>1311</v>
      </c>
      <c r="G5" s="8" t="s">
        <v>1312</v>
      </c>
      <c r="H5" s="8"/>
      <c r="I5" s="8" t="s">
        <v>1313</v>
      </c>
      <c r="J5" s="8"/>
      <c r="K5" s="5" t="inlineStr">
        <is>
          <t xml:space="preserve">There is no flash-sale reminder option or notification linked to the upcoming sale.</t>
        </is>
      </c>
      <c r="L5" s="5" t="inlineStr">
        <is>
          <t xml:space="preserve">Not Run</t>
        </is>
      </c>
      <c r="M5" s="5" t="inlineStr">
        <is>
          <t xml:space="preserve">Draft: Add reminders if scheduled flash sales are required.</t>
        </is>
      </c>
    </row>
    <row r="6" customFormat="false" ht="29.25" hidden="false" customHeight="true" outlineLevel="0" collapsed="false">
      <c r="A6" s="7" t="s">
        <v>1314</v>
      </c>
      <c r="B6" s="8" t="s">
        <v>1295</v>
      </c>
      <c r="C6" s="8" t="s">
        <v>1315</v>
      </c>
      <c r="D6" s="8" t="s">
        <v>52</v>
      </c>
      <c r="E6" s="8" t="s">
        <v>755</v>
      </c>
      <c r="F6" s="8" t="s">
        <v>1316</v>
      </c>
      <c r="G6" s="8" t="s">
        <v>1317</v>
      </c>
      <c r="H6" s="8"/>
      <c r="I6" s="8" t="s">
        <v>1318</v>
      </c>
      <c r="J6" s="8"/>
      <c r="K6" s="5" t="inlineStr">
        <is>
          <t xml:space="preserve">Opening a notification marks it read, and Mark All as Read clears the unread total.</t>
        </is>
      </c>
      <c r="L6" s="5" t="inlineStr">
        <is>
          <t xml:space="preserve">Not Run</t>
        </is>
      </c>
      <c r="M6" s="5" t="inlineStr">
        <is>
          <t xml:space="preserve">Draft: Confirm the three-to-two-to-zero sequence with three unread updates.</t>
        </is>
      </c>
    </row>
    <row r="7" customFormat="false" ht="42" hidden="false" customHeight="true" outlineLevel="0" collapsed="false">
      <c r="A7" s="7" t="s">
        <v>1319</v>
      </c>
      <c r="B7" s="8" t="s">
        <v>1295</v>
      </c>
      <c r="C7" s="8" t="s">
        <v>1320</v>
      </c>
      <c r="D7" s="8" t="s">
        <v>52</v>
      </c>
      <c r="E7" s="8" t="s">
        <v>668</v>
      </c>
      <c r="F7" s="8" t="s">
        <v>1321</v>
      </c>
      <c r="G7" s="8" t="s">
        <v>1322</v>
      </c>
      <c r="H7" s="8" t="s">
        <v>1323</v>
      </c>
      <c r="I7" s="8" t="s">
        <v>1324</v>
      </c>
      <c r="J7" s="8" t="s">
        <v>1191</v>
      </c>
      <c r="K7" s="5" t="inlineStr">
        <is>
          <t xml:space="preserve">Chat messages do not generate a phone push notification that opens the conversation.</t>
        </is>
      </c>
      <c r="L7" s="5" t="inlineStr">
        <is>
          <t xml:space="preserve">Not Run</t>
        </is>
      </c>
      <c r="M7" s="5" t="inlineStr">
        <is>
          <t xml:space="preserve">Draft: Add background message notifications and a direct conversation link.</t>
        </is>
      </c>
    </row>
    <row r="8" customFormat="false" ht="54.75" hidden="false" customHeight="true" outlineLevel="0" collapsed="false">
      <c r="A8" s="7" t="s">
        <v>1325</v>
      </c>
      <c r="B8" s="8" t="s">
        <v>1295</v>
      </c>
      <c r="C8" s="8" t="s">
        <v>1326</v>
      </c>
      <c r="D8" s="8" t="s">
        <v>44</v>
      </c>
      <c r="E8" s="8" t="s">
        <v>755</v>
      </c>
      <c r="F8" s="8" t="s">
        <v>681</v>
      </c>
      <c r="G8" s="8" t="s">
        <v>1327</v>
      </c>
      <c r="H8" s="8"/>
      <c r="I8" s="8" t="s">
        <v>1328</v>
      </c>
      <c r="J8" s="8" t="s">
        <v>1329</v>
      </c>
      <c r="K8" s="5" t="inlineStr">
        <is>
          <t xml:space="preserve">The in-app inbox is separate from phone notification settings, but phone push notifications are not available in this version.</t>
        </is>
      </c>
      <c r="L8" s="5" t="inlineStr">
        <is>
          <t xml:space="preserve">Not Run</t>
        </is>
      </c>
      <c r="M8" s="5" t="inlineStr">
        <is>
          <t xml:space="preserve">Draft: Check permission behaviour after push notifications are added.</t>
        </is>
      </c>
    </row>
    <row r="9" customFormat="false" ht="42" hidden="false" customHeight="true" outlineLevel="0" collapsed="false">
      <c r="A9" s="7" t="s">
        <v>1330</v>
      </c>
      <c r="B9" s="8" t="s">
        <v>1295</v>
      </c>
      <c r="C9" s="8" t="s">
        <v>1331</v>
      </c>
      <c r="D9" s="8" t="s">
        <v>54</v>
      </c>
      <c r="E9" s="8" t="s">
        <v>755</v>
      </c>
      <c r="F9" s="8" t="s">
        <v>1332</v>
      </c>
      <c r="G9" s="8" t="s">
        <v>1333</v>
      </c>
      <c r="H9" s="8" t="s">
        <v>1334</v>
      </c>
      <c r="I9" s="8" t="s">
        <v>1335</v>
      </c>
      <c r="J9" s="8" t="s">
        <v>204</v>
      </c>
      <c r="K9" s="5" t="inlineStr">
        <is>
          <t xml:space="preserve">The message text is cleared before sending finishes. A failed send shows an error without keeping an unsent message or offering Retry.</t>
        </is>
      </c>
      <c r="L9" s="5" t="inlineStr">
        <is>
          <t xml:space="preserve">Not Run</t>
        </is>
      </c>
      <c r="M9" s="5" t="inlineStr">
        <is>
          <t xml:space="preserve">Draft: Keep failed messages available for retry so buyers do not lose their text.</t>
        </is>
      </c>
    </row>
  </sheetData>
  <autoFilter ref="A1:M9"/>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2026-10-14T03:54:29Z</dcterms:created>
  <dc:creator>openpyxl</dc:creator>
  <dc:description/>
  <dc:language>en-US</dc:language>
  <cp:lastModifiedBy/>
  <dcterms:modified xsi:type="dcterms:W3CDTF">2026-10-21T00:42:59Z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
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ummary" sheetId="1" state="visible" r:id="rId3"/>
    <sheet name="Test Data" sheetId="2" state="visible" r:id="rId4"/>
    <sheet name="Test Files" sheetId="3" state="visible" r:id="rId5"/>
    <sheet name="Assumptions" sheetId="4" state="visible" r:id="rId6"/>
    <sheet name="Buyer" sheetId="5" state="visible" r:id="rId7"/>
  </sheets>
  <definedNames>
    <definedName function="false" hidden="false" localSheetId="4" name="_xlnm.Print_Titles" vbProcedure="false">Buyer!$1:$1</definedName>
    <definedName function="false" hidden="true" localSheetId="4" name="_xlnm._FilterDatabase" vbProcedure="false">Buyer!$A$1:$M$43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<sst xmlns="http://schemas.openxmlformats.org/spreadsheetml/2006/main" count="1378" uniqueCount="731">
  <si>
    <t xml:space="preserve">Black-Box Test Cases: Account Creation (Mobile App)</t>
  </si>
  <si>
    <t xml:space="preserve">Multi-role e-commerce mobile app (Buyer, Seller, Logistics, Rider, Courier)</t>
  </si>
  <si>
    <t xml:space="preserve">Test run details</t>
  </si>
  <si>
    <t xml:space="preserve">System under test</t>
  </si>
  <si>
    <t xml:space="preserve">App version / build number</t>
  </si>
  <si>
    <t xml:space="preserve">Test device (model, OS version) and network (Wi-Fi / mobile data)</t>
  </si>
  <si>
    <t xml:space="preserve">Tester</t>
  </si>
  <si>
    <t xml:space="preserve">Date tested</t>
  </si>
  <si>
    <t xml:space="preserve">Results by role</t>
  </si>
  <si>
    <t xml:space="preserve">Role (sheet)</t>
  </si>
  <si>
    <t xml:space="preserve">Total test cases</t>
  </si>
  <si>
    <t xml:space="preserve">Pass</t>
  </si>
  <si>
    <t xml:space="preserve">Fail</t>
  </si>
  <si>
    <t xml:space="preserve">Blocked</t>
  </si>
  <si>
    <t xml:space="preserve">Not Run</t>
  </si>
  <si>
    <t xml:space="preserve">Pass rate (Pass / Total)</t>
  </si>
  <si>
    <t xml:space="preserve">Buyer</t>
  </si>
  <si>
    <t xml:space="preserve">Seller (separate workbook)</t>
  </si>
  <si>
    <t xml:space="preserve">Logistics (separate workbook)</t>
  </si>
  <si>
    <t xml:space="preserve">Rider (separate workbook)</t>
  </si>
  <si>
    <t xml:space="preserve">Total</t>
  </si>
  <si>
    <t xml:space="preserve">How to use this workbook</t>
  </si>
  <si>
    <t xml:space="preserve">1. Read the Assumptions sheet first. The rules are modeled on Philippine marketplaces, so adjust any case whose rule differs from your system.</t>
  </si>
  <si>
    <t xml:space="preserve">2. The Test Data sheet lists every form field with two ready-made accounts per role. The Test Files sheet lists the upload files to prepare. All people, companies and numbers are fictional.</t>
  </si>
  <si>
    <t xml:space="preserve">3. Emails use example.com, so nothing is delivered to a real inbox. Read OTP and activation emails from a mail catcher such as Mailtrap, or from your application's mail log.</t>
  </si>
  <si>
    <t xml:space="preserve">4. On each role sheet, run the Test Steps with the Test Data and compare what happens with the Expected Result. Use a spare email and mobile number from the Test Data sheet whenever a value marked (accept) creates another account.</t>
  </si>
  <si>
    <t xml:space="preserve">5. Dates of birth and license expiry dates in the boundary cases are calculated from today's date, so they are always correct on the day you test.</t>
  </si>
  <si>
    <t xml:space="preserve">6. Fill in only the yellow cells: Actual Result, Status and Remarks. Pick the Status from the dropdown (Pass, Fail, Blocked, Not Run).</t>
  </si>
  <si>
    <t xml:space="preserve">7. Pass = actual matches expected. Fail = it does not (describe what happened and add a screenshot or bug number in Remarks). Blocked = the case could not be run, for example because an earlier case failed.</t>
  </si>
  <si>
    <t xml:space="preserve">8. The Results by role table above updates automatically from the Status column.</t>
  </si>
  <si>
    <t xml:space="preserve">Example of a filled-in row (illustration only, not a real result)</t>
  </si>
  <si>
    <t xml:space="preserve">Test Case ID</t>
  </si>
  <si>
    <t xml:space="preserve">Test Scenario</t>
  </si>
  <si>
    <t xml:space="preserve">Expected Result</t>
  </si>
  <si>
    <t xml:space="preserve">Actual Result</t>
  </si>
  <si>
    <t xml:space="preserve">Status</t>
  </si>
  <si>
    <t xml:space="preserve">Remarks</t>
  </si>
  <si>
    <t xml:space="preserve">TC-BUY-010</t>
  </si>
  <si>
    <t xml:space="preserve">Email that is already registered</t>
  </si>
  <si>
    <t xml:space="preserve">Registration is blocked. A message says the email is already in use. No account is created.</t>
  </si>
  <si>
    <t xml:space="preserve">No message was shown. A second account was created with juanmiguel.delacruz@example.com.</t>
  </si>
  <si>
    <t xml:space="preserve">Bug #012. Screenshot: buy-010.png</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</si>
  <si>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</si>
  <si>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</si>
  <si>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</si>
  <si>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</si>
  <si>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7 and 8 characters for a minimum of 8.</t>
  </si>
  <si>
    <t xml:space="preserve">Decision Table</t>
  </si>
  <si>
    <t xml:space="preserve">Combinations of conditions are tested, for example each missing password character type.</t>
  </si>
  <si>
    <t xml:space="preserve">State Transition</t>
  </si>
  <si>
    <t xml:space="preserve">Changes in account status are tested, for example Unverified to Active or Pending Approval to Approved.</t>
  </si>
  <si>
    <t xml:space="preserve">Use Case Testing</t>
  </si>
  <si>
    <t xml:space="preserve">A complete user flow is tested from start to finish with valid data.</t>
  </si>
  <si>
    <t xml:space="preserve">Error Guessing</t>
  </si>
  <si>
    <t xml:space="preserve">Likely mistakes are tested based on experience, for example double-tapping Register or opening another role's screen through a deep link.</t>
  </si>
  <si>
    <t xml:space="preserve">Mobile app testing notes</t>
  </si>
  <si>
    <t xml:space="preserve">1. Install the build under test on at least one Android phone, and on an iPhone if your system supports iOS. Write the phone model, OS version and app build number in the Test run details above, and test on the same build throughout.</t>
  </si>
  <si>
    <t xml:space="preserve">2. Copy every file on the Test Files sheet to the phone before testing: documents to the Files / Downloads folder and images to Photos (gallery).</t>
  </si>
  <si>
    <t xml:space="preserve">3. Rows whose Test Scenario starts with [Mobile] are new mobile-only cases (keyboard, interruptions, no internet, permissions, camera, Back button, push notifications, deep links). Filter the Test Scenario column on '[Mobile]' to run them as a group. Assumptions M1 to M12 describe the rules they check.</t>
  </si>
  <si>
    <t xml:space="preserve">4. 'Tap' is a single tap and 'double-tap' is two quick taps on the same button. 'Pull to refresh' means dragging the screen down from the top; if a screen has none, go back and reopen it. Use Airplane mode for the no-internet cases and turn it off before the next case.</t>
  </si>
  <si>
    <t xml:space="preserve">5. Cases that send or capture an API request need a proxy tool on the phone (Assumption M11). If your group cannot capture app traffic, mark those cases Blocked and write 'no proxy' in Remarks.</t>
  </si>
  <si>
    <t xml:space="preserve">6. Evidence: use the phone's screenshot or built-in screen recorder and name each file by case ID (for example buy-010.png or buy-031.mp4). Screen recordings are best for timing, interruption and no-internet cases.</t>
  </si>
  <si>
    <t xml:space="preserve">Test data and input details</t>
  </si>
  <si>
    <t xml:space="preserve">Every form field per role, with its rule and two complete sets of valid data. Account 1 is the main account in the test cases. Account 2 is for cases that need a second account. All people, companies, numbers and addresses are fictional.</t>
  </si>
  <si>
    <t xml:space="preserve">Buyer: Self-registration</t>
  </si>
  <si>
    <t xml:space="preserve">Role</t>
  </si>
  <si>
    <t xml:space="preserve">Field</t>
  </si>
  <si>
    <t xml:space="preserve">Required</t>
  </si>
  <si>
    <t xml:space="preserve">Input type</t>
  </si>
  <si>
    <t xml:space="preserve">Format / rule</t>
  </si>
  <si>
    <t xml:space="preserve">Account 1 (valid)</t>
  </si>
  <si>
    <t xml:space="preserve">Account 2 (valid)</t>
  </si>
  <si>
    <t xml:space="preserve">First Name</t>
  </si>
  <si>
    <t xml:space="preserve">Yes</t>
  </si>
  <si>
    <t xml:space="preserve">Text</t>
  </si>
  <si>
    <t xml:space="preserve">2 to 50 characters; letters, spaces, hyphen, apostrophe, period</t>
  </si>
  <si>
    <t xml:space="preserve">Juan Miguel</t>
  </si>
  <si>
    <t xml:space="preserve">Ana Marie</t>
  </si>
  <si>
    <t xml:space="preserve">Last Name</t>
  </si>
  <si>
    <t xml:space="preserve">Dela Cruz</t>
  </si>
  <si>
    <t xml:space="preserve">Reyes</t>
  </si>
  <si>
    <t xml:space="preserve">Email</t>
  </si>
  <si>
    <t xml:space="preserve">Valid email format; unique</t>
  </si>
  <si>
    <t xml:space="preserve">juanmiguel.delacruz@example.com</t>
  </si>
  <si>
    <t xml:space="preserve">anamarie.reyes@example.com</t>
  </si>
  <si>
    <t xml:space="preserve">Mobile Number</t>
  </si>
  <si>
    <t xml:space="preserve">09XXXXXXXXX or +639XXXXXXXXX; unique</t>
  </si>
  <si>
    <t xml:space="preserve">09171234567</t>
  </si>
  <si>
    <t xml:space="preserve">09173456789</t>
  </si>
  <si>
    <t xml:space="preserve">Date of Birth</t>
  </si>
  <si>
    <t xml:space="preserve">Date picker</t>
  </si>
  <si>
    <t xml:space="preserve">At least 18 years old</t>
  </si>
  <si>
    <t xml:space="preserve">05/14/1998</t>
  </si>
  <si>
    <t xml:space="preserve">11/02/2001</t>
  </si>
  <si>
    <t xml:space="preserve">Password</t>
  </si>
  <si>
    <t xml:space="preserve">Min 8 characters; uppercase, lowercase, number, special character</t>
  </si>
  <si>
    <t xml:space="preserve">Mamimili@2026</t>
  </si>
  <si>
    <t xml:space="preserve">Suki#2026Ana</t>
  </si>
  <si>
    <t xml:space="preserve">Confirm Password</t>
  </si>
  <si>
    <t xml:space="preserve">Must match Password</t>
  </si>
  <si>
    <t xml:space="preserve">Terms and Privacy Policy</t>
  </si>
  <si>
    <t xml:space="preserve">Checkbox</t>
  </si>
  <si>
    <t xml:space="preserve">Must be ticked</t>
  </si>
  <si>
    <t xml:space="preserve">Ticked</t>
  </si>
  <si>
    <t xml:space="preserve">Seller: Self-registration, then admin approval</t>
  </si>
  <si>
    <t xml:space="preserve">Seller</t>
  </si>
  <si>
    <t xml:space="preserve">Maria Clara</t>
  </si>
  <si>
    <t xml:space="preserve">Roberto</t>
  </si>
  <si>
    <t xml:space="preserve">Santos</t>
  </si>
  <si>
    <t xml:space="preserve">Villanueva</t>
  </si>
  <si>
    <t xml:space="preserve">mariaclara.santos@example.com</t>
  </si>
  <si>
    <t xml:space="preserve">roberto.villanueva@example.com</t>
  </si>
  <si>
    <t xml:space="preserve">09189876543</t>
  </si>
  <si>
    <t xml:space="preserve">09194567890</t>
  </si>
  <si>
    <t xml:space="preserve">Shop Name</t>
  </si>
  <si>
    <t xml:space="preserve">3 to 30 characters; unique</t>
  </si>
  <si>
    <t xml:space="preserve">Maria Clara Handicrafts</t>
  </si>
  <si>
    <t xml:space="preserve">RV Gadget Hub</t>
  </si>
  <si>
    <t xml:space="preserve">Shop Category</t>
  </si>
  <si>
    <t xml:space="preserve">Dropdown (picker)</t>
  </si>
  <si>
    <t xml:space="preserve">One main category</t>
  </si>
  <si>
    <t xml:space="preserve">Home &amp; Living</t>
  </si>
  <si>
    <t xml:space="preserve">Mobiles &amp; Gadgets</t>
  </si>
  <si>
    <t xml:space="preserve">Seller Type</t>
  </si>
  <si>
    <t xml:space="preserve">Individual, Sole Proprietorship or Corporation</t>
  </si>
  <si>
    <t xml:space="preserve">Sole Proprietorship</t>
  </si>
  <si>
    <t xml:space="preserve">Corporation</t>
  </si>
  <si>
    <t xml:space="preserve">TIN</t>
  </si>
  <si>
    <t xml:space="preserve">000-000-000-000 (12 digits); unique</t>
  </si>
  <si>
    <t xml:space="preserve">123-456-789-000</t>
  </si>
  <si>
    <t xml:space="preserve">456-789-012-000</t>
  </si>
  <si>
    <t xml:space="preserve">Region</t>
  </si>
  <si>
    <t xml:space="preserve">Philippine regions</t>
  </si>
  <si>
    <t xml:space="preserve">National Capital Region (NCR)</t>
  </si>
  <si>
    <t xml:space="preserve">Region VII (Central Visayas)</t>
  </si>
  <si>
    <t xml:space="preserve">Province</t>
  </si>
  <si>
    <t xml:space="preserve">Filtered by Region</t>
  </si>
  <si>
    <t xml:space="preserve">Metro Manila</t>
  </si>
  <si>
    <t xml:space="preserve">Cebu</t>
  </si>
  <si>
    <t xml:space="preserve">City / Municipality</t>
  </si>
  <si>
    <t xml:space="preserve">Filtered by Province</t>
  </si>
  <si>
    <t xml:space="preserve">Quezon City</t>
  </si>
  <si>
    <t xml:space="preserve">Cebu City</t>
  </si>
  <si>
    <t xml:space="preserve">Barangay</t>
  </si>
  <si>
    <t xml:space="preserve">Filtered by City / Municipality</t>
  </si>
  <si>
    <t xml:space="preserve">Commonwealth</t>
  </si>
  <si>
    <t xml:space="preserve">Lahug</t>
  </si>
  <si>
    <t xml:space="preserve">Street Address</t>
  </si>
  <si>
    <t xml:space="preserve">House, unit or lot number and street</t>
  </si>
  <si>
    <t xml:space="preserve">Blk 12 Lot 8, Sampaguita St.</t>
  </si>
  <si>
    <t xml:space="preserve">2F, 45 Gorordo Ave.</t>
  </si>
  <si>
    <t xml:space="preserve">Postal Code</t>
  </si>
  <si>
    <t xml:space="preserve">Exactly 4 digits</t>
  </si>
  <si>
    <t xml:space="preserve">1121</t>
  </si>
  <si>
    <t xml:space="preserve">6000</t>
  </si>
  <si>
    <t xml:space="preserve">Government-issued ID (upload)</t>
  </si>
  <si>
    <t xml:space="preserve">File (camera, gallery or Files)</t>
  </si>
  <si>
    <t xml:space="preserve">JPG, PNG or PDF; max 5 MB</t>
  </si>
  <si>
    <t xml:space="preserve">govt_id_front.jpg (1.2 MB)</t>
  </si>
  <si>
    <t xml:space="preserve">govt_id_front.png (2.4 MB)</t>
  </si>
  <si>
    <t xml:space="preserve">DTI Certificate (upload)</t>
  </si>
  <si>
    <t xml:space="preserve">Sole Proprietorship only</t>
  </si>
  <si>
    <t xml:space="preserve">dti_certificate.pdf (850 KB)</t>
  </si>
  <si>
    <t xml:space="preserve">Not applicable</t>
  </si>
  <si>
    <t xml:space="preserve">SEC Certificate (upload)</t>
  </si>
  <si>
    <t xml:space="preserve">Corporation only</t>
  </si>
  <si>
    <t xml:space="preserve">sec_certificate.pdf (1.0 MB)</t>
  </si>
  <si>
    <t xml:space="preserve">BIR Form 2303 (upload)</t>
  </si>
  <si>
    <t xml:space="preserve">Sole Proprietorship and Corporation</t>
  </si>
  <si>
    <t xml:space="preserve">bir_2303.pdf (1.1 MB)</t>
  </si>
  <si>
    <t xml:space="preserve">Tindahan@2026</t>
  </si>
  <si>
    <t xml:space="preserve">Gadget#Hub26</t>
  </si>
  <si>
    <t xml:space="preserve">Logistics: Self-registration, then admin approval</t>
  </si>
  <si>
    <t xml:space="preserve">Logistics</t>
  </si>
  <si>
    <t xml:space="preserve">Company Name</t>
  </si>
  <si>
    <t xml:space="preserve">Unique</t>
  </si>
  <si>
    <t xml:space="preserve">Bilis Hatid Express Inc.</t>
  </si>
  <si>
    <t xml:space="preserve">Agila Cargo Movers Corp.</t>
  </si>
  <si>
    <t xml:space="preserve">SEC Registration No.</t>
  </si>
  <si>
    <t xml:space="preserve">2 letters followed by 9 digits; unique</t>
  </si>
  <si>
    <t xml:space="preserve">CS202012345</t>
  </si>
  <si>
    <t xml:space="preserve">CS201998765</t>
  </si>
  <si>
    <t xml:space="preserve">234-567-890-000</t>
  </si>
  <si>
    <t xml:space="preserve">567-890-123-000</t>
  </si>
  <si>
    <t xml:space="preserve">Region XI (Davao Region)</t>
  </si>
  <si>
    <t xml:space="preserve">Davao del Sur</t>
  </si>
  <si>
    <t xml:space="preserve">Pasig City</t>
  </si>
  <si>
    <t xml:space="preserve">Davao City</t>
  </si>
  <si>
    <t xml:space="preserve">Kapitolyo</t>
  </si>
  <si>
    <t xml:space="preserve">Buhangin</t>
  </si>
  <si>
    <t xml:space="preserve">Unit 5B, 88 West Capitol Drive</t>
  </si>
  <si>
    <t xml:space="preserve">Door 3, 210 Sampaguita St.</t>
  </si>
  <si>
    <t xml:space="preserve">1603</t>
  </si>
  <si>
    <t xml:space="preserve">8000</t>
  </si>
  <si>
    <t xml:space="preserve">Contact Person First Name</t>
  </si>
  <si>
    <t xml:space="preserve">Carlos Antonio</t>
  </si>
  <si>
    <t xml:space="preserve">Liza Mae</t>
  </si>
  <si>
    <t xml:space="preserve">Contact Person Last Name</t>
  </si>
  <si>
    <t xml:space="preserve">Mendoza</t>
  </si>
  <si>
    <t xml:space="preserve">Fernandez</t>
  </si>
  <si>
    <t xml:space="preserve">Position</t>
  </si>
  <si>
    <t xml:space="preserve">Job title of the contact person</t>
  </si>
  <si>
    <t xml:space="preserve">Operations Manager</t>
  </si>
  <si>
    <t xml:space="preserve">General Manager</t>
  </si>
  <si>
    <t xml:space="preserve">operations@bilishatid.example.com</t>
  </si>
  <si>
    <t xml:space="preserve">admin@agilacargo.example.com</t>
  </si>
  <si>
    <t xml:space="preserve">09285551234</t>
  </si>
  <si>
    <t xml:space="preserve">09396667890</t>
  </si>
  <si>
    <t xml:space="preserve">Service Areas</t>
  </si>
  <si>
    <t xml:space="preserve">Multi-select (picker)</t>
  </si>
  <si>
    <t xml:space="preserve">At least one region</t>
  </si>
  <si>
    <t xml:space="preserve">NCR; Region IV-A (CALABARZON)</t>
  </si>
  <si>
    <t xml:space="preserve">Mayor's / Business Permit (upload)</t>
  </si>
  <si>
    <t xml:space="preserve">mayors_permit.pdf (1.3 MB)</t>
  </si>
  <si>
    <t xml:space="preserve">Valid ID of Authorized Representative (upload)</t>
  </si>
  <si>
    <t xml:space="preserve">Hatid@2026</t>
  </si>
  <si>
    <t xml:space="preserve">Agila#Cargo26</t>
  </si>
  <si>
    <t xml:space="preserve">Rider: Created by an Approved logistics account</t>
  </si>
  <si>
    <t xml:space="preserve">Rider</t>
  </si>
  <si>
    <t xml:space="preserve">Pedro Jose</t>
  </si>
  <si>
    <t xml:space="preserve">Mark Anthony</t>
  </si>
  <si>
    <t xml:space="preserve">Garcia</t>
  </si>
  <si>
    <t xml:space="preserve">Bautista</t>
  </si>
  <si>
    <t xml:space="preserve">03/22/1995</t>
  </si>
  <si>
    <t xml:space="preserve">08/09/1999</t>
  </si>
  <si>
    <t xml:space="preserve">pedrojose.garcia@example.com</t>
  </si>
  <si>
    <t xml:space="preserve">markanthony.bautista@example.com</t>
  </si>
  <si>
    <t xml:space="preserve">09451239876</t>
  </si>
  <si>
    <t xml:space="preserve">09662345678</t>
  </si>
  <si>
    <t xml:space="preserve">Driver's License No.</t>
  </si>
  <si>
    <t xml:space="preserve">A00-00-000000; unique</t>
  </si>
  <si>
    <t xml:space="preserve">N01-23-456789</t>
  </si>
  <si>
    <t xml:space="preserve">D05-19-123456</t>
  </si>
  <si>
    <t xml:space="preserve">License Expiry Date</t>
  </si>
  <si>
    <t xml:space="preserve">Today or later</t>
  </si>
  <si>
    <t xml:space="preserve">03/22/2030</t>
  </si>
  <si>
    <t xml:space="preserve">08/09/2031</t>
  </si>
  <si>
    <t xml:space="preserve">Vehicle Type</t>
  </si>
  <si>
    <t xml:space="preserve">Motorcycle, Car or Van</t>
  </si>
  <si>
    <t xml:space="preserve">Motorcycle</t>
  </si>
  <si>
    <t xml:space="preserve">Van</t>
  </si>
  <si>
    <t xml:space="preserve">Plate Number</t>
  </si>
  <si>
    <t xml:space="preserve">123ABC</t>
  </si>
  <si>
    <t xml:space="preserve">NBC1234</t>
  </si>
  <si>
    <t xml:space="preserve">Driver's License (upload)</t>
  </si>
  <si>
    <t xml:space="preserve">drivers_license.jpg (1.5 MB)</t>
  </si>
  <si>
    <t xml:space="preserve">drivers_license.png (2.0 MB)</t>
  </si>
  <si>
    <t xml:space="preserve">Vehicle OR/CR (upload)</t>
  </si>
  <si>
    <t xml:space="preserve">or_cr.pdf (900 KB)</t>
  </si>
  <si>
    <t xml:space="preserve">Password (set by the rider at activation)</t>
  </si>
  <si>
    <t xml:space="preserve">Rider@2026</t>
  </si>
  <si>
    <t xml:space="preserve">Hatid#Mark26</t>
  </si>
  <si>
    <t xml:space="preserve">Other values</t>
  </si>
  <si>
    <t xml:space="preserve">Spare emails for repeat attempts</t>
  </si>
  <si>
    <t xml:space="preserve">buyer.test01@example.com to buyer.test10@example.com (same pattern for seller.test, logistics.test and rider.test)</t>
  </si>
  <si>
    <t xml:space="preserve">Spare mobile numbers for repeat attempts</t>
  </si>
  <si>
    <t xml:space="preserve">09170000001 to 09170000020</t>
  </si>
  <si>
    <t xml:space="preserve">Admin account for approval tests</t>
  </si>
  <si>
    <t xml:space="preserve">Use the admin account already seeded in your system</t>
  </si>
  <si>
    <t xml:space="preserve">Courier: Created by an Approved logistics account (drives parcels from hub to hub)</t>
  </si>
  <si>
    <t xml:space="preserve">Courier</t>
  </si>
  <si>
    <t xml:space="preserve">Ernesto</t>
  </si>
  <si>
    <t xml:space="preserve">Rogelio</t>
  </si>
  <si>
    <t xml:space="preserve">Villareal</t>
  </si>
  <si>
    <t xml:space="preserve">Dimaculangan</t>
  </si>
  <si>
    <t xml:space="preserve">07/15/1988</t>
  </si>
  <si>
    <t xml:space="preserve">02/28/1985</t>
  </si>
  <si>
    <t xml:space="preserve">Valid email format; unique across all roles</t>
  </si>
  <si>
    <t xml:space="preserve">ernesto.villareal@example.com</t>
  </si>
  <si>
    <t xml:space="preserve">rogelio.dimaculangan@example.com</t>
  </si>
  <si>
    <t xml:space="preserve">09276543210</t>
  </si>
  <si>
    <t xml:space="preserve">09381122334</t>
  </si>
  <si>
    <t xml:space="preserve">A00-00-000000; unique across riders and couriers</t>
  </si>
  <si>
    <t xml:space="preserve">N02-15-345678</t>
  </si>
  <si>
    <t xml:space="preserve">D10-12-654321</t>
  </si>
  <si>
    <t xml:space="preserve">License Type</t>
  </si>
  <si>
    <t xml:space="preserve">Professional only</t>
  </si>
  <si>
    <t xml:space="preserve">Professional</t>
  </si>
  <si>
    <t xml:space="preserve">DL Codes</t>
  </si>
  <si>
    <t xml:space="preserve">Must cover the vehicle type (A18)</t>
  </si>
  <si>
    <t xml:space="preserve">B, B2, C</t>
  </si>
  <si>
    <t xml:space="preserve">B, B2</t>
  </si>
  <si>
    <t xml:space="preserve">07/15/2029</t>
  </si>
  <si>
    <t xml:space="preserve">02/28/2031</t>
  </si>
  <si>
    <t xml:space="preserve">Van, 4-Wheeler Closed Van Truck or 6-Wheeler Truck</t>
  </si>
  <si>
    <t xml:space="preserve">4-Wheeler Closed Van Truck</t>
  </si>
  <si>
    <t xml:space="preserve">Unique across riders and couriers</t>
  </si>
  <si>
    <t xml:space="preserve">NAB4521</t>
  </si>
  <si>
    <t xml:space="preserve">CAV7788</t>
  </si>
  <si>
    <t xml:space="preserve">Load Capacity (kg)</t>
  </si>
  <si>
    <t xml:space="preserve">Number</t>
  </si>
  <si>
    <t xml:space="preserve">Whole kg; Van 100–1,000, 4-Wheeler 100–4,000, 6-Wheeler 100–10,000</t>
  </si>
  <si>
    <t xml:space="preserve">3000</t>
  </si>
  <si>
    <t xml:space="preserve">800</t>
  </si>
  <si>
    <t xml:space="preserve">Home Hub</t>
  </si>
  <si>
    <t xml:space="preserve">Only the hubs of the logistics company creating the courier</t>
  </si>
  <si>
    <t xml:space="preserve">HUB-QC (Bilis Hatid QC First-Mile Hub)</t>
  </si>
  <si>
    <t xml:space="preserve">HUB-PSG (Bilis Hatid Pasig Main Hub)</t>
  </si>
  <si>
    <t xml:space="preserve">Professional Driver's License (upload)</t>
  </si>
  <si>
    <t xml:space="preserve">pro_license.jpg (1.4 MB)</t>
  </si>
  <si>
    <t xml:space="preserve">pro_license.png (2.1 MB)</t>
  </si>
  <si>
    <t xml:space="preserve">truck_or_cr.pdf (950 KB)</t>
  </si>
  <si>
    <t xml:space="preserve">NBI Clearance (upload)</t>
  </si>
  <si>
    <t xml:space="preserve">nbi_clearance.pdf (600 KB)</t>
  </si>
  <si>
    <t xml:space="preserve">Password (set by the courier at activation)</t>
  </si>
  <si>
    <t xml:space="preserve">Courier@2026</t>
  </si>
  <si>
    <t xml:space="preserve">Linehaul#Rog26</t>
  </si>
  <si>
    <t xml:space="preserve">Courier values</t>
  </si>
  <si>
    <t xml:space="preserve">Hubs to seed for the Home Hub field</t>
  </si>
  <si>
    <t xml:space="preserve">Logistics 1 (Bilis Hatid): HUB-QC QC First-Mile Hub, HUB-PSG Pasig Main Hub, HUB-STR Sta. Rosa Hub. Logistics 2 (Agila): HUB-DVO Davao Hub.</t>
  </si>
  <si>
    <t xml:space="preserve">Spare courier emails and mobile numbers</t>
  </si>
  <si>
    <t xml:space="preserve">courier.test03@example.com to courier.test10@example.com; 09170000021 to 09170000025</t>
  </si>
  <si>
    <t xml:space="preserve">Upload files to prepare</t>
  </si>
  <si>
    <t xml:space="preserve">Prepare these files before testing the document uploads. Use sample or blank documents, not anyone's real ID or certificate. The size limit is 5 MB, which is 5,120 KB or 5,242,880 bytes. Copy every file to the test phone before testing: PDFs and other documents to Files / Downloads, and images to Photos (gallery) so they can be picked from either place.</t>
  </si>
  <si>
    <t xml:space="preserve">File name</t>
  </si>
  <si>
    <t xml:space="preserve">Type</t>
  </si>
  <si>
    <t xml:space="preserve">Size</t>
  </si>
  <si>
    <t xml:space="preserve">Used for</t>
  </si>
  <si>
    <t xml:space="preserve">Expected result</t>
  </si>
  <si>
    <t xml:space="preserve">govt_id_front.jpg</t>
  </si>
  <si>
    <t xml:space="preserve">JPG</t>
  </si>
  <si>
    <t xml:space="preserve">1.2 MB</t>
  </si>
  <si>
    <t xml:space="preserve">Valid government ID</t>
  </si>
  <si>
    <t xml:space="preserve">Accept</t>
  </si>
  <si>
    <t xml:space="preserve">govt_id_front.png</t>
  </si>
  <si>
    <t xml:space="preserve">PNG</t>
  </si>
  <si>
    <t xml:space="preserve">2.4 MB</t>
  </si>
  <si>
    <t xml:space="preserve">Valid government ID in PNG</t>
  </si>
  <si>
    <t xml:space="preserve">dti_certificate.pdf</t>
  </si>
  <si>
    <t xml:space="preserve">PDF</t>
  </si>
  <si>
    <t xml:space="preserve">850 KB</t>
  </si>
  <si>
    <t xml:space="preserve">DTI Certificate of Business Name Registration</t>
  </si>
  <si>
    <t xml:space="preserve">dti_certificate_clear.pdf</t>
  </si>
  <si>
    <t xml:space="preserve">1.0 MB</t>
  </si>
  <si>
    <t xml:space="preserve">Replacement document for the resubmit test (seller)</t>
  </si>
  <si>
    <t xml:space="preserve">sec_certificate.pdf</t>
  </si>
  <si>
    <t xml:space="preserve">SEC Certificate of Registration</t>
  </si>
  <si>
    <t xml:space="preserve">bir_2303.pdf</t>
  </si>
  <si>
    <t xml:space="preserve">1.1 MB</t>
  </si>
  <si>
    <t xml:space="preserve">BIR Certificate of Registration (Form 2303)</t>
  </si>
  <si>
    <t xml:space="preserve">mayors_permit.pdf</t>
  </si>
  <si>
    <t xml:space="preserve">1.3 MB</t>
  </si>
  <si>
    <t xml:space="preserve">Mayor's / Business Permit</t>
  </si>
  <si>
    <t xml:space="preserve">mayors_permit_2026.pdf</t>
  </si>
  <si>
    <t xml:space="preserve">Replacement document for the resubmit test (logistics)</t>
  </si>
  <si>
    <t xml:space="preserve">drivers_license.jpg</t>
  </si>
  <si>
    <t xml:space="preserve">1.5 MB</t>
  </si>
  <si>
    <t xml:space="preserve">Rider's driver's license</t>
  </si>
  <si>
    <t xml:space="preserve">drivers_license.png</t>
  </si>
  <si>
    <t xml:space="preserve">2.0 MB</t>
  </si>
  <si>
    <t xml:space="preserve">Rider's driver's license in PNG</t>
  </si>
  <si>
    <t xml:space="preserve">drivers_license.pdf</t>
  </si>
  <si>
    <t xml:space="preserve">700 KB</t>
  </si>
  <si>
    <t xml:space="preserve">Rider's driver's license in PDF</t>
  </si>
  <si>
    <t xml:space="preserve">or_cr.pdf</t>
  </si>
  <si>
    <t xml:space="preserve">900 KB</t>
  </si>
  <si>
    <t xml:space="preserve">Vehicle Official Receipt and Certificate of Registration</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</si>
  <si>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</si>
  <si>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</si>
  <si>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</si>
  <si>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</si>
  <si>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</si>
  <si>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</si>
  <si>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</si>
  <si>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</si>
  <si>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</si>
  <si>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</si>
  <si>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</si>
  <si>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</si>
  <si>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</si>
  <si>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</si>
  <si>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store_banner.gif</t>
  </si>
  <si>
    <t xml:space="preserve">GIF</t>
  </si>
  <si>
    <t xml:space="preserve">480 KB</t>
  </si>
  <si>
    <t xml:space="preserve">Wrong file type (GIF image)</t>
  </si>
  <si>
    <t xml:space="preserve">installer.exe</t>
  </si>
  <si>
    <t xml:space="preserve">EXE</t>
  </si>
  <si>
    <t xml:space="preserve">2.1 MB</t>
  </si>
  <si>
    <t xml:space="preserve">Wrong file type (program)</t>
  </si>
  <si>
    <t xml:space="preserve">pro_license.jpg</t>
  </si>
  <si>
    <t xml:space="preserve">1.4 MB</t>
  </si>
  <si>
    <t xml:space="preserve">Courier's professional driver's license</t>
  </si>
  <si>
    <t xml:space="preserve">pro_license.png</t>
  </si>
  <si>
    <t xml:space="preserve">Courier's professional driver's license in PNG</t>
  </si>
  <si>
    <t xml:space="preserve">truck_or_cr.pdf</t>
  </si>
  <si>
    <t xml:space="preserve">950 KB</t>
  </si>
  <si>
    <t xml:space="preserve">Courier's truck Official Receipt and Certificate of Registration</t>
  </si>
  <si>
    <t xml:space="preserve">nbi_clearance.pdf</t>
  </si>
  <si>
    <t xml:space="preserve">600 KB</t>
  </si>
  <si>
    <t xml:space="preserve">Courier's NBI Clearance</t>
  </si>
  <si>
    <t xml:space="preserve">incident_photo.jpg</t>
  </si>
  <si>
    <t xml:space="preserve">Courier breakdown report / damaged parcel at unloading</t>
  </si>
  <si>
    <t xml:space="preserve">(take with the phone camera)</t>
  </si>
  <si>
    <t xml:space="preserve">JPG / HEIC</t>
  </si>
  <si>
    <t xml:space="preserve">Often 3–12 MB at full resolution</t>
  </si>
  <si>
    <t xml:space="preserve">Camera photo taken inside the app</t>
  </si>
  <si>
    <t xml:space="preserve">Compressed to 5 MB or less and accepted, or rejected with a size message (M7)</t>
  </si>
  <si>
    <t xml:space="preserve">(screenshot taken on the phone)</t>
  </si>
  <si>
    <t xml:space="preserve">Usually under 1 MB</t>
  </si>
  <si>
    <t xml:space="preserve">Image picked from the gallery</t>
  </si>
  <si>
    <t xml:space="preserve">Assumptions used in the test cases</t>
  </si>
  <si>
    <t xml:space="preserve">These rules are modeled on Philippine marketplaces, not taken from your actual system. Write your real rule in column D where it differs, then filter the Assumption Ref column on each role sheet to find the test cases to adjust. A17 and A18 cover the Courier role. M1 to M12 are the mobile-app rules used by the [Mobile] cases.</t>
  </si>
  <si>
    <t xml:space="preserve">Ref</t>
  </si>
  <si>
    <t xml:space="preserve">Topic</t>
  </si>
  <si>
    <t xml:space="preserve">Assumed rule</t>
  </si>
  <si>
    <t xml:space="preserve">Your system's actual rule (fill in if different)</t>
  </si>
  <si>
    <t xml:space="preserve">A1</t>
  </si>
  <si>
    <t xml:space="preserve">Form fields</t>
  </si>
  <si>
    <t xml:space="preserve">Each role's form has the fields listed on the Test Data sheet, modeled on Philippine marketplaces. Payout details (bank or e-wallet) are set up after approval, not during registration.</t>
  </si>
  <si>
    <t xml:space="preserve">A2</t>
  </si>
  <si>
    <t xml:space="preserve">Name rule</t>
  </si>
  <si>
    <t xml:space="preserve">2 to 50 characters. Letters (including ñ), spaces, hyphen, apostrophe and period only.</t>
  </si>
  <si>
    <t xml:space="preserve">A3</t>
  </si>
  <si>
    <t xml:space="preserve">Email rule</t>
  </si>
  <si>
    <t xml:space="preserve">Must be a valid email format. Unique across all roles (one email = one account). Not case-sensitive. Leading and trailing spaces are removed.</t>
  </si>
  <si>
    <t xml:space="preserve">A4</t>
  </si>
  <si>
    <t xml:space="preserve">Mobile number rule</t>
  </si>
  <si>
    <t xml:space="preserve">Philippine mobile number entered as 09XXXXXXXXX (11 digits) or +639XXXXXXXXX. Both forms are stored as the same number. Unique across all accounts.</t>
  </si>
  <si>
    <t xml:space="preserve">A5</t>
  </si>
  <si>
    <t xml:space="preserve">Password rule</t>
  </si>
  <si>
    <t xml:space="preserve">At least 8 characters with at least one uppercase letter, one lowercase letter, one number and one special character. Confirm Password must match.</t>
  </si>
  <si>
    <t xml:space="preserve">A6</t>
  </si>
  <si>
    <t xml:space="preserve">Date of birth rule</t>
  </si>
  <si>
    <t xml:space="preserve">Buyers and riders must be at least 18 years old on the day of registration. A future date is not allowed.</t>
  </si>
  <si>
    <t xml:space="preserve">A7</t>
  </si>
  <si>
    <t xml:space="preserve">Address rule</t>
  </si>
  <si>
    <t xml:space="preserve">Region, Province, City/Municipality and Barangay are linked dropdowns: each list depends on the one before it. Postal Code is exactly 4 digits.</t>
  </si>
  <si>
    <t xml:space="preserve">A8</t>
  </si>
  <si>
    <t xml:space="preserve">TIN rule</t>
  </si>
  <si>
    <t xml:space="preserve">12 digits in the form 000-000-000-000 (9-digit TIN plus 3-digit branch code). Unique across seller and logistics accounts.</t>
  </si>
  <si>
    <t xml:space="preserve">A9</t>
  </si>
  <si>
    <t xml:space="preserve">Email verification (OTP)</t>
  </si>
  <si>
    <t xml:space="preserve">A 6-digit numeric code is emailed after registration. It is valid for 5 minutes. Resending creates a new code and cancels the old one. An account cannot be used until it is verified.</t>
  </si>
  <si>
    <t xml:space="preserve">A10</t>
  </si>
  <si>
    <t xml:space="preserve">Document upload rule</t>
  </si>
  <si>
    <t xml:space="preserve">Accepted file types: JPG, PNG, PDF. Maximum size: 5 MB (5,120 KB) per file.</t>
  </si>
  <si>
    <t xml:space="preserve">A11</t>
  </si>
  <si>
    <t xml:space="preserve">Seller documents by seller type</t>
  </si>
  <si>
    <t xml:space="preserve">Individual: Government-issued ID. Sole Proprietorship: Government-issued ID, DTI Certificate and BIR Form 2303. Corporation: Government-issued ID of the representative, SEC Certificate and BIR Form 2303.</t>
  </si>
  <si>
    <t xml:space="preserve">A12</t>
  </si>
  <si>
    <t xml:space="preserve">Account status flow</t>
  </si>
  <si>
    <t xml:space="preserve">Buyer: Unverified, then Active after OTP. Seller and Logistics: Unverified, then Pending Approval after OTP, then Approved or Rejected by an admin. A rejected applicant can correct the details and resubmit.</t>
  </si>
  <si>
    <t xml:space="preserve">A13</t>
  </si>
  <si>
    <t xml:space="preserve">Rider account flow</t>
  </si>
  <si>
    <t xml:space="preserve">Riders cannot register themselves. Only an Approved logistics account can create a rider. The rider starts as Pending Activation and becomes Active after setting a password through an emailed activation link, which is valid for 24 hours and opens the app's Set Password screen (or a mobile web page if the app is not installed). Riders do not need separate admin approval.</t>
  </si>
  <si>
    <t xml:space="preserve">A14</t>
  </si>
  <si>
    <t xml:space="preserve">Unique business identifiers</t>
  </si>
  <si>
    <t xml:space="preserve">Shop Name (3 to 30 characters), Company Name, SEC Registration No. (2 letters followed by 9 digits), Driver's License No. and Plate Number must each be unique.</t>
  </si>
  <si>
    <t xml:space="preserve">A15</t>
  </si>
  <si>
    <t xml:space="preserve">Driver's license rule</t>
  </si>
  <si>
    <t xml:space="preserve">License number follows the LTO form A00-00-000000 (1 letter and 11 digits). The expiry date must be today or a later date.</t>
  </si>
  <si>
    <t xml:space="preserve">A16</t>
  </si>
  <si>
    <t xml:space="preserve">Role-based access</t>
  </si>
  <si>
    <t xml:space="preserve">Each role can open only its own screens. The app shows only that role's screens. Opening another role's screen through a deep link, or sending its API request directly, is denied (401/403, an access-denied screen or a redirect to home).</t>
  </si>
  <si>
    <t xml:space="preserve">A17</t>
  </si>
  <si>
    <t xml:space="preserve">Courier account flow</t>
  </si>
  <si>
    <t xml:space="preserve">Couriers drive parcels from one hub to another (linehaul); riders still do pickups and deliveries. Couriers cannot register themselves. Only an Approved logistics account can create a courier, and it picks the courier's home hub from its own hubs. The courier starts as Pending Activation and becomes Active after setting a password through an emailed activation link, valid for 24 hours, which opens the app's Set Password screen (or a mobile web page if the app is not installed). Couriers do not need separate admin approval. Courier and rider are separate roles: one email or mobile number cannot be used for both.</t>
  </si>
  <si>
    <t xml:space="preserve">A18</t>
  </si>
  <si>
    <t xml:space="preserve">Courier license and vehicle rule</t>
  </si>
  <si>
    <t xml:space="preserve">Only a Professional driver's license is accepted. The license number follows A00-00-000000 and is unique across riders and couriers; the expiry date must be today or later. The DL codes must cover the vehicle: Van needs B or B2; 4-Wheeler Closed Van Truck and 6-Wheeler Truck need C. Load capacity is a whole number of kg: Van 100–1,000; 4-Wheeler Closed Van Truck 100–4,000; 6-Wheeler Truck 100–10,000. The plate number is unique across riders and couriers. Required uploads: Professional Driver's License, Vehicle OR/CR and NBI Clearance (JPG, PNG or PDF, max 5 MB each).</t>
  </si>
  <si>
    <t xml:space="preserve">M1</t>
  </si>
  <si>
    <t xml:space="preserve">Mobile app under test</t>
  </si>
  <si>
    <t xml:space="preserve">The system is tested as a mobile app (Android and/or iOS) installed from an APK, TestFlight or store build. Record the phone model, OS version and app build on the Summary sheet. Admin-only steps (approvals, platform vouchers) may stay on a web admin panel; run those steps there.</t>
  </si>
  <si>
    <t xml:space="preserve">M2</t>
  </si>
  <si>
    <t xml:space="preserve">Keyboard and input</t>
  </si>
  <si>
    <t xml:space="preserve">Each field opens the keyboard that fits it: email keyboard (with @) for Email; number pad for Mobile Number, OTP, Postal Code, TIN, quantity and stock; decimal pad for prices and weight. Password fields show no autocorrect or suggestions. The keyboard never hides the focused field or the main button.</t>
  </si>
  <si>
    <t xml:space="preserve">M3</t>
  </si>
  <si>
    <t xml:space="preserve">OTP entry on the phone</t>
  </si>
  <si>
    <t xml:space="preserve">The OTP field accepts a pasted 6-digit code (filling every box when the field is split into boxes) and supports the phone's one-time-code autofill where available. The expiry countdown is based on the time the code was sent, so it keeps running while the user is in the mail app.</t>
  </si>
  <si>
    <t xml:space="preserve">M4</t>
  </si>
  <si>
    <t xml:space="preserve">Interruptions</t>
  </si>
  <si>
    <t xml:space="preserve">Sending the app to the background (Home, switching apps, an incoming call, locking the screen) and returning keeps the current screen and the typed values (passwords may be cleared). Rotating the phone is either blocked (portrait only) or keeps every value. Nothing is submitted unless the user taps the button.</t>
  </si>
  <si>
    <t xml:space="preserve">M5</t>
  </si>
  <si>
    <t xml:space="preserve">No internet or a dropped connection</t>
  </si>
  <si>
    <t xml:space="preserve">With no connection the app shows a clear no-internet message with Retry, never crashes or freezes, and never shows success for something the server did not save. Saving an action offline and sending it later is allowed only if the app shows it as pending, and it is sent exactly once. Write in column D whether your app blocks or queues offline actions.</t>
  </si>
  <si>
    <t xml:space="preserve">M6</t>
  </si>
  <si>
    <t xml:space="preserve">Phone permissions</t>
  </si>
  <si>
    <t xml:space="preserve">Camera, photos/files, location and notifications are requested only when first needed, with a reason. If a permission is denied, the app explains why it is needed, offers a link to the phone's Settings, keeps working for everything that does not need it, and never crashes.</t>
  </si>
  <si>
    <t xml:space="preserve">M7</t>
  </si>
  <si>
    <t xml:space="preserve">Picking and capturing files</t>
  </si>
  <si>
    <t xml:space="preserve">Each upload offers Camera, Gallery/Photos and, for PDFs, Files. The type and size rules (A10 / A16) apply to every source. Camera photos larger than 5 MB are compressed to 5 MB or less before upload. Copy the Test Files to the phone before testing.</t>
  </si>
  <si>
    <t xml:space="preserve">M8</t>
  </si>
  <si>
    <t xml:space="preserve">Back navigation</t>
  </si>
  <si>
    <t xml:space="preserve">The Android Back button and iOS swipe-back go to the previous screen. Leaving a form with unsaved changes asks the user to confirm discarding them. After logging out, Back never shows a logged-in screen.</t>
  </si>
  <si>
    <t xml:space="preserve">M9</t>
  </si>
  <si>
    <t xml:space="preserve">Login session on the phone</t>
  </si>
  <si>
    <t xml:space="preserve">The app stays logged in after it is closed, reopened or the phone restarts, until the user logs out, the password is changed (which also ends the session on the user's other phones), or the session token expires.</t>
  </si>
  <si>
    <t xml:space="preserve">M10</t>
  </si>
  <si>
    <t xml:space="preserve">Push notifications</t>
  </si>
  <si>
    <t xml:space="preserve">Status changes, approvals and chat messages also send a push notification to the phone of each user involved, and to no one else. Tapping a notification opens the related screen, even if the app was closed. If notifications are turned off in phone Settings, the in-app notification list still works.</t>
  </si>
  <si>
    <t xml:space="preserve">M11</t>
  </si>
  <si>
    <t xml:space="preserve">Deep links and direct requests</t>
  </si>
  <si>
    <t xml:space="preserve">Share links and email links (activation, product, store) open the matching screen in the app, or a mobile web page if the app is not installed. Access rules are enforced by the server: a deep link or a direct API request for another role's or another user's data is refused (401/403, an access-denied screen or a redirect to home). Cases that capture or send a request directly need a proxy tool on the test phone (for example HTTP Toolkit, Charles or mitmproxy). If your group cannot capture app traffic, mark those cases Blocked and write 'no proxy' in Remarks.</t>
  </si>
  <si>
    <t xml:space="preserve">M12</t>
  </si>
  <si>
    <t xml:space="preserve">Screen size and display</t>
  </si>
  <si>
    <t xml:space="preserve">Every screen works on a small phone (about 5.5 in) and a large one (about 6.7 in), in light and dark mode, and with the largest system font: no cut-off text, no overlapping controls, and no buttons hidden behind the keyboard.</t>
  </si>
  <si>
    <t xml:space="preserve">Module</t>
  </si>
  <si>
    <t xml:space="preserve">Technique</t>
  </si>
  <si>
    <t xml:space="preserve">Priority</t>
  </si>
  <si>
    <t xml:space="preserve">Preconditions</t>
  </si>
  <si>
    <t xml:space="preserve">Test Steps</t>
  </si>
  <si>
    <t xml:space="preserve">Test Data</t>
  </si>
  <si>
    <t xml:space="preserve">Assumption Ref</t>
  </si>
  <si>
    <t xml:space="preserve">TC-BUY-001</t>
  </si>
  <si>
    <t xml:space="preserve">Registration Form</t>
  </si>
  <si>
    <t xml:space="preserve">Register with all valid data</t>
  </si>
  <si>
    <t xml:space="preserve">High</t>
  </si>
  <si>
    <t xml:space="preserve">The buyer registration screen is open. The email, mobile number and other unique values in the test data are not yet registered.</t>
  </si>
  <si>
    <t xml:space="preserve">1. Fill in every field with the test data.
2. Tap Register.</t>
  </si>
  <si>
    <t xml:space="preserve">First Name: Juan Miguel
Last Name: Dela Cruz
Email: juanmiguel.delacruz@example.com
Mobile Number: 09171234567
Date of Birth: 05/14/1998
Password: Mamimili@2026
Confirm Password: Mamimili@2026
Terms and Privacy Policy: Ticked</t>
  </si>
  <si>
    <t xml:space="preserve">The form is accepted with no validation errors. A success message is shown, a 6-digit OTP is sent to the email, and the email verification screen opens. The account is saved with status Unverified.</t>
  </si>
  <si>
    <t xml:space="preserve">A1, A9, A12</t>
  </si>
  <si>
    <t xml:space="preserve">TC-BUY-002</t>
  </si>
  <si>
    <t xml:space="preserve">Required Fields</t>
  </si>
  <si>
    <t xml:space="preserve">Submit a completely empty form</t>
  </si>
  <si>
    <t xml:space="preserve">The buyer registration screen is open.</t>
  </si>
  <si>
    <t xml:space="preserve">1. Leave every field blank and every dropdown on its default option.
2. Tap Register.</t>
  </si>
  <si>
    <t xml:space="preserve">All fields blank</t>
  </si>
  <si>
    <t xml:space="preserve">Registration is blocked. A required-field message is shown for every mandatory field. No account is created and no OTP is sent.</t>
  </si>
  <si>
    <t xml:space="preserve">TC-BUY-003</t>
  </si>
  <si>
    <t xml:space="preserve">Leave one required field blank at a time</t>
  </si>
  <si>
    <t xml:space="preserve">1. Fill in all fields with valid data.
2. Clear one required field.
3. Tap Register.
4. Repeat for each field in the test data.</t>
  </si>
  <si>
    <t xml:space="preserve">Clear in turn:
First Name
Last Name
Email
Mobile Number
Date of Birth
Password
Confirm Password</t>
  </si>
  <si>
    <t xml:space="preserve">Each time, registration is blocked and a required-field message is shown on the blank field only. Other entered values (except passwords and uploads) are kept. No account is created.</t>
  </si>
  <si>
    <t xml:space="preserve">TC-BUY-004</t>
  </si>
  <si>
    <t xml:space="preserve">Name</t>
  </si>
  <si>
    <t xml:space="preserve">Name with numbers or symbols</t>
  </si>
  <si>
    <t xml:space="preserve">Medium</t>
  </si>
  <si>
    <t xml:space="preserve">1. Fill in all other fields with valid data.
2. Enter the test data in the name fields.
3. Tap Register.</t>
  </si>
  <si>
    <t xml:space="preserve">First Name: Juan Miguel123
Last Name: Dela Cruz@#</t>
  </si>
  <si>
    <t xml:space="preserve">Registration is blocked. A message on each name field says only letters are allowed.</t>
  </si>
  <si>
    <t xml:space="preserve">TC-BUY-005</t>
  </si>
  <si>
    <t xml:space="preserve">Name with ñ and allowed punctuation</t>
  </si>
  <si>
    <t xml:space="preserve">Low</t>
  </si>
  <si>
    <t xml:space="preserve">First Name: Niño Angelo
Last Name: Peñaflor-O'Hara</t>
  </si>
  <si>
    <t xml:space="preserve">The names are accepted and saved exactly as typed, including ñ.</t>
  </si>
  <si>
    <t xml:space="preserve">TC-BUY-006</t>
  </si>
  <si>
    <t xml:space="preserve">Name length at the limits</t>
  </si>
  <si>
    <t xml:space="preserve">1. Fill in all other fields with valid data.
2. Enter each first name in the test data, one per attempt.
3. Tap Register.</t>
  </si>
  <si>
    <t xml:space="preserve">1 character: J (reject)
2 characters: Jo (accept)
50 characters: Maria Cristina Angelica Bernadette Josefina Leonor (accept)
51 characters: Maria Cristina Angelica Bernadette Josefina Leonora (reject)</t>
  </si>
  <si>
    <t xml:space="preserve">1 and 51 characters are rejected with a length message. 2 and 50 characters are accepted.</t>
  </si>
  <si>
    <t xml:space="preserve">TC-BUY-007</t>
  </si>
  <si>
    <t xml:space="preserve">Age at the 18-year limit</t>
  </si>
  <si>
    <t xml:space="preserve">1. Fill in all other fields with valid data.
2. Enter each date of birth in the test data, one per attempt.
3. Tap Register.</t>
  </si>
  <si>
    <t xml:space="preserve">The 17-year-old date is rejected with a message that the person must be at least 18. The other two dates are accepted.</t>
  </si>
  <si>
    <t xml:space="preserve">TC-BUY-008</t>
  </si>
  <si>
    <t xml:space="preserve">Date of birth in the future</t>
  </si>
  <si>
    <t xml:space="preserve">1. Fill in all other fields with valid data.
2. Enter the date of birth in the test data.
3. Tap Register.</t>
  </si>
  <si>
    <t xml:space="preserve">Registration is blocked. A message asks for a valid date of birth. If a date picker is used, future dates cannot be selected.</t>
  </si>
  <si>
    <t xml:space="preserve">TC-BUY-009</t>
  </si>
  <si>
    <t xml:space="preserve">Email in an invalid format</t>
  </si>
  <si>
    <t xml:space="preserve">1. Fill in all other fields with valid data.
2. Enter each email in the test data, one per attempt.
3. Tap Register.</t>
  </si>
  <si>
    <t xml:space="preserve">juanmiguel.delacruzexample.com (no @)
juanmiguel.delacruz@ (no domain)
@example.com (no name)
juanmiguel.delacruz@example (no .com)
juanmiguel delacruz@example.com (space)</t>
  </si>
  <si>
    <t xml:space="preserve">Each value is rejected with a message asking for a valid email address. No account is created.</t>
  </si>
  <si>
    <t xml:space="preserve">The buyer registration screen is open. The buyer account juanmiguel.delacruz@example.com already exists.</t>
  </si>
  <si>
    <t xml:space="preserve">1. Fill in all other fields with valid data.
2. Enter the existing email.
3. Tap Register.</t>
  </si>
  <si>
    <t xml:space="preserve">Email: juanmiguel.delacruz@example.com</t>
  </si>
  <si>
    <t xml:space="preserve">TC-BUY-011</t>
  </si>
  <si>
    <t xml:space="preserve">Registered email typed in capital letters</t>
  </si>
  <si>
    <t xml:space="preserve">1. Fill in all other fields with valid data.
2. Enter the same email in capital letters.
3. Tap Register.</t>
  </si>
  <si>
    <t xml:space="preserve">Email: JUANMIGUEL.DELACRUZ@EXAMPLE.COM</t>
  </si>
  <si>
    <t xml:space="preserve">The email is treated as a duplicate. Registration is blocked.</t>
  </si>
  <si>
    <t xml:space="preserve">TC-BUY-012</t>
  </si>
  <si>
    <t xml:space="preserve">Email with spaces before and after</t>
  </si>
  <si>
    <t xml:space="preserve">1. Fill in all other fields with valid data.
2. Type two spaces before and after the email.
3. Tap Register.</t>
  </si>
  <si>
    <t xml:space="preserve">Email: "  buyer.test01@example.com  "</t>
  </si>
  <si>
    <t xml:space="preserve">The spaces are removed and the email is saved as buyer.test01@example.com.</t>
  </si>
  <si>
    <t xml:space="preserve">TC-BUY-013</t>
  </si>
  <si>
    <t xml:space="preserve">Mobile number in an invalid format</t>
  </si>
  <si>
    <t xml:space="preserve">1. Fill in all other fields with valid data.
2. Enter each mobile number in the test data, one per attempt.
3. Tap Register.</t>
  </si>
  <si>
    <t xml:space="preserve">0917ABC4567 (letters)
0917-123-456 (symbols, too short)
12345678901 (does not start with 09)
02-8123-4567 (landline)</t>
  </si>
  <si>
    <t xml:space="preserve">Each value is rejected with a message asking for a valid mobile number.</t>
  </si>
  <si>
    <t xml:space="preserve">TC-BUY-014</t>
  </si>
  <si>
    <t xml:space="preserve">Mobile number length at the limits</t>
  </si>
  <si>
    <t xml:space="preserve">10 digits: 0917123456 (reject)
11 digits: 09170000001 (accept)
12 digits: 091712345678 (reject)</t>
  </si>
  <si>
    <t xml:space="preserve">10 and 12 digits are rejected with a length message. 11 digits is accepted.</t>
  </si>
  <si>
    <t xml:space="preserve">TC-BUY-015</t>
  </si>
  <si>
    <t xml:space="preserve">Mobile number that is already registered</t>
  </si>
  <si>
    <t xml:space="preserve">The buyer registration screen is open. An account already exists with mobile number 09171234567.</t>
  </si>
  <si>
    <t xml:space="preserve">1. Fill in all other fields with valid data.
2. Enter the existing mobile number.
3. Tap Register.</t>
  </si>
  <si>
    <t xml:space="preserve">Mobile: 09171234567</t>
  </si>
  <si>
    <t xml:space="preserve">Registration is blocked. A message says the mobile number is already in use.</t>
  </si>
  <si>
    <t xml:space="preserve">TC-BUY-016</t>
  </si>
  <si>
    <t xml:space="preserve">Registered number entered in +63 format</t>
  </si>
  <si>
    <t xml:space="preserve">1. Fill in all other fields with valid data.
2. Enter the same number in +63 format.
3. Tap Register.</t>
  </si>
  <si>
    <t xml:space="preserve">Mobile: +639171234567</t>
  </si>
  <si>
    <t xml:space="preserve">The +63 format is recognised as the same number. Registration is blocked. A message says the mobile number is already in use.</t>
  </si>
  <si>
    <t xml:space="preserve">TC-BUY-017</t>
  </si>
  <si>
    <t xml:space="preserve">Password length at the limit</t>
  </si>
  <si>
    <t xml:space="preserve">1. Fill in all other fields with valid data.
2. Enter each password in both password fields, one per attempt.
3. Tap Register.</t>
  </si>
  <si>
    <t xml:space="preserve">7 characters: Bili@26 (reject)
8 characters: Bili@202 (accept)</t>
  </si>
  <si>
    <t xml:space="preserve">7 characters is rejected with a minimum-length message. 8 characters is accepted.</t>
  </si>
  <si>
    <t xml:space="preserve">TC-BUY-018</t>
  </si>
  <si>
    <t xml:space="preserve">Password missing a required character type</t>
  </si>
  <si>
    <t xml:space="preserve">No uppercase: mamimili@2026
No lowercase: MAMIMILI@2026
No number: Mamimili@abcd
No special character: Mamimili2026</t>
  </si>
  <si>
    <t xml:space="preserve">Each password is rejected with a message stating the password rule. No account is created.</t>
  </si>
  <si>
    <t xml:space="preserve">TC-BUY-019</t>
  </si>
  <si>
    <t xml:space="preserve">Confirm Password does not match</t>
  </si>
  <si>
    <t xml:space="preserve">1. Fill in all other fields with valid data.
2. Enter the test data in Password and Confirm Password.
3. Tap Register.</t>
  </si>
  <si>
    <t xml:space="preserve">Password: Mamimili@2026
Confirm Password: Mamimili@2027</t>
  </si>
  <si>
    <t xml:space="preserve">Registration is blocked. A message says the passwords do not match.</t>
  </si>
  <si>
    <t xml:space="preserve">TC-BUY-020</t>
  </si>
  <si>
    <t xml:space="preserve">Password is hidden while typing</t>
  </si>
  <si>
    <t xml:space="preserve">1. Type the password.
2. If a show/hide icon is provided, tap it twice.</t>
  </si>
  <si>
    <t xml:space="preserve">Password: Mamimili@2026</t>
  </si>
  <si>
    <t xml:space="preserve">Characters are hidden as dots by default. The icon reveals the password, then hides it again.</t>
  </si>
  <si>
    <t xml:space="preserve">TC-BUY-021</t>
  </si>
  <si>
    <t xml:space="preserve">Register without accepting the terms</t>
  </si>
  <si>
    <t xml:space="preserve">1. Fill in all fields with valid data.
2. Leave the Terms and Privacy Policy checkbox unticked.
3. Tap Register.</t>
  </si>
  <si>
    <t xml:space="preserve">Terms and Privacy Policy: unticked</t>
  </si>
  <si>
    <t xml:space="preserve">Registration is blocked. A message says the Terms and Privacy Policy must be accepted.</t>
  </si>
  <si>
    <t xml:space="preserve">TC-BUY-022</t>
  </si>
  <si>
    <t xml:space="preserve">Tap Register several times quickly</t>
  </si>
  <si>
    <t xml:space="preserve">1. Fill in all fields with the Account 2 data from the Test Data sheet.
2. Tap Register three times in quick succession.</t>
  </si>
  <si>
    <t xml:space="preserve">Account 2 data (Test Data sheet, column G)</t>
  </si>
  <si>
    <t xml:space="preserve">Only one account is created and only one OTP email is sent. No duplicate-email error screen appears.</t>
  </si>
  <si>
    <t xml:space="preserve">TC-BUY-023</t>
  </si>
  <si>
    <t xml:space="preserve">Email Verification (OTP)</t>
  </si>
  <si>
    <t xml:space="preserve">Verify with the correct OTP</t>
  </si>
  <si>
    <t xml:space="preserve">The buyer account juanmiguel.delacruz@example.com was just registered and is Unverified. The verification screen is open and the OTP email has been read from the mail catcher.</t>
  </si>
  <si>
    <t xml:space="preserve">1. Enter the OTP from the email within 5 minutes.
2. Tap Verify.</t>
  </si>
  <si>
    <t xml:space="preserve">OTP: the code in the email (for example 482913)</t>
  </si>
  <si>
    <t xml:space="preserve">Verification succeeds. The account status changes from Unverified to Active. A success message is shown and the login screen (or home screen) opens.</t>
  </si>
  <si>
    <t xml:space="preserve">A9, A12</t>
  </si>
  <si>
    <t xml:space="preserve">TC-BUY-024</t>
  </si>
  <si>
    <t xml:space="preserve">Verify with an incorrect OTP</t>
  </si>
  <si>
    <t xml:space="preserve">1. Enter a code different from the one in the email.
2. Tap Verify.</t>
  </si>
  <si>
    <t xml:space="preserve">OTP: 000000 (use 111111 if the real code is 000000)</t>
  </si>
  <si>
    <t xml:space="preserve">Verification fails with an invalid-code message. The account stays Unverified.</t>
  </si>
  <si>
    <t xml:space="preserve">TC-BUY-025</t>
  </si>
  <si>
    <t xml:space="preserve">OTP in the wrong format</t>
  </si>
  <si>
    <t xml:space="preserve">1. Enter each value in the test data, one per attempt.
2. Tap Verify.</t>
  </si>
  <si>
    <t xml:space="preserve">5 digits: 48291
7 digits: 4829137
Letters: 48A91B
Blank</t>
  </si>
  <si>
    <t xml:space="preserve">Each value is rejected. The account stays Unverified.</t>
  </si>
  <si>
    <t xml:space="preserve">TC-BUY-026</t>
  </si>
  <si>
    <t xml:space="preserve">Verify with an expired OTP</t>
  </si>
  <si>
    <t xml:space="preserve">1. Wait until 5 minutes and 1 second have passed since the OTP was sent.
2. Enter the OTP from the email.
3. Tap Verify.</t>
  </si>
  <si>
    <t xml:space="preserve">OTP: the correct code, entered at 5:01 or later</t>
  </si>
  <si>
    <t xml:space="preserve">Verification fails with a message that the code has expired, and a Resend option is offered. The account stays Unverified.</t>
  </si>
  <si>
    <t xml:space="preserve">TC-BUY-027</t>
  </si>
  <si>
    <t xml:space="preserve">Resend OTP</t>
  </si>
  <si>
    <t xml:space="preserve">1. Tap Resend OTP.
2. Enter the first code and tap Verify.
3. Enter the second code and tap Verify.</t>
  </si>
  <si>
    <t xml:space="preserve">First code (for example 482913), then the second code (for example 907356)</t>
  </si>
  <si>
    <t xml:space="preserve">A new OTP email arrives. The first code is rejected. The second code is accepted and the account is verified.</t>
  </si>
  <si>
    <t xml:space="preserve">TC-BUY-028</t>
  </si>
  <si>
    <t xml:space="preserve">Log in before verifying the email</t>
  </si>
  <si>
    <t xml:space="preserve">The buyer account juanmiguel.delacruz@example.com exists with status Unverified.</t>
  </si>
  <si>
    <t xml:space="preserve">1. Open the login screen.
2. Log in with the unverified account.</t>
  </si>
  <si>
    <t xml:space="preserve">Email: juanmiguel.delacruz@example.com
Password: Mamimili@2026</t>
  </si>
  <si>
    <t xml:space="preserve">The user is not given access. The verification screen or a message asking to verify the email is shown.</t>
  </si>
  <si>
    <t xml:space="preserve">TC-BUY-029</t>
  </si>
  <si>
    <t xml:space="preserve">Access Control</t>
  </si>
  <si>
    <t xml:space="preserve">Log in with the new verified account</t>
  </si>
  <si>
    <t xml:space="preserve">The buyer account juanmiguel.delacruz@example.com is verified and Active.</t>
  </si>
  <si>
    <t xml:space="preserve">1. Open the login screen.
2. Enter the email and password.
3. Tap Log In.</t>
  </si>
  <si>
    <t xml:space="preserve">Login succeeds. The buyer home screen opens and the name Juan Miguel is shown.</t>
  </si>
  <si>
    <t xml:space="preserve">TC-BUY-030</t>
  </si>
  <si>
    <t xml:space="preserve">Open another role's screens</t>
  </si>
  <si>
    <t xml:space="preserve">The buyer account juanmiguel.delacruz@example.com is logged in.</t>
  </si>
  <si>
    <t xml:space="preserve">1. Check every tab and menu for seller, logistics, rider or admin functions.
2. Open each deep link in the test data on the phone, one at a time (tap it in a notes app, or on Android run adb shell am start -a android.intent.action.VIEW -d &lt;link&gt;).
3. If a proxy tool is available, replay one seller API request using the buyer's session.</t>
  </si>
  <si>
    <t xml:space="preserve">Seller dashboard deep link
Logistics dashboard deep link
Rider home deep link
Admin dashboard deep link (or the admin panel's web address)</t>
  </si>
  <si>
    <t xml:space="preserve">No other role's menus are shown. Each deep link shows an access-denied message or returns to the buyer home screen. The API request is refused (401/403). No data from the other role is shown.</t>
  </si>
  <si>
    <t xml:space="preserve">A16, M11</t>
  </si>
  <si>
    <t xml:space="preserve">TC-BUY-031</t>
  </si>
  <si>
    <t xml:space="preserve">[Mobile] Each field opens the right keyboard</t>
  </si>
  <si>
    <t xml:space="preserve">The buyer Sign Up screen is open in the app on the test phone.</t>
  </si>
  <si>
    <t xml:space="preserve">1. Tap each field in turn, from top to bottom.
2. Note the keyboard that opens and whether word suggestions appear.</t>
  </si>
  <si>
    <t xml:space="preserve">Email: email keyboard with @
Mobile Number: number pad
OTP (on the next screen): number pad
Password / Confirm Password: no autocorrect or suggestions
First / Last Name: capitalises each word</t>
  </si>
  <si>
    <t xml:space="preserve">Each field opens the keyboard listed in the test data. Password fields show no autocorrect or word suggestions. No field opens a keyboard that cannot type its valid value.</t>
  </si>
  <si>
    <t xml:space="preserve">TC-BUY-032</t>
  </si>
  <si>
    <t xml:space="preserve">[Mobile] Keyboard never hides the active field or Register</t>
  </si>
  <si>
    <t xml:space="preserve">1. On the smallest test phone, tap each field from top to bottom.
2. With the keyboard open on the last field, scroll to Register.
3. Tap Done or tap outside the fields.</t>
  </si>
  <si>
    <t xml:space="preserve">Any valid values</t>
  </si>
  <si>
    <t xml:space="preserve">The focused field always scrolls into view above the keyboard, with its error message visible. Register can be reached and tapped. The keyboard closes when Done or the background is tapped.</t>
  </si>
  <si>
    <t xml:space="preserve">M2, M12</t>
  </si>
  <si>
    <t xml:space="preserve">TC-BUY-033</t>
  </si>
  <si>
    <t xml:space="preserve">[Mobile] App sent to the background while filling the form</t>
  </si>
  <si>
    <t xml:space="preserve">1. Fill in about half the fields with Account 1 data.
2. Press Home and open another app for 1 minute, then return.
3. Lock the screen for 1 minute (or receive a phone call), then return.</t>
  </si>
  <si>
    <t xml:space="preserve">Account 1 data (Test Data sheet)</t>
  </si>
  <si>
    <t xml:space="preserve">Each time, the app returns to the same form with every typed value still there (passwords may be cleared). The app does not restart, crash or jump to the login screen. No account is created until Register is tapped.</t>
  </si>
  <si>
    <t xml:space="preserve">TC-BUY-034</t>
  </si>
  <si>
    <t xml:space="preserve">[Mobile] Rotate the phone while the form has data</t>
  </si>
  <si>
    <t xml:space="preserve">1. Fill in several fields and tap Register with one field blank, so an error message shows.
2. Turn on auto-rotate and rotate the phone to landscape, then back.</t>
  </si>
  <si>
    <t xml:space="preserve">Account 1 data with Email left blank</t>
  </si>
  <si>
    <t xml:space="preserve">Either the app stays in portrait, or the layout switches to landscape and back keeping every value and the error message. Nothing is cleared and the app does not crash.</t>
  </si>
  <si>
    <t xml:space="preserve">TC-BUY-035</t>
  </si>
  <si>
    <t xml:space="preserve">[Mobile] Register with no internet connection</t>
  </si>
  <si>
    <t xml:space="preserve">The buyer Sign Up screen is open in the app on the test phone. The values in the test data are not yet registered.</t>
  </si>
  <si>
    <t xml:space="preserve">1. Fill in every field with the test data.
2. Turn on Airplane mode (Wi-Fi and mobile data off).
3. Tap Register.
4. Turn Airplane mode off and tap Register again.</t>
  </si>
  <si>
    <t xml:space="preserve">Email: buyer.test03@example.com
Mobile Number: 09170000002</t>
  </si>
  <si>
    <t xml:space="preserve">Step 3: a clear no-internet message is shown, the typed data stays on the form, the app does not crash, and no account is created. Step 4: the account is saved once: exactly one account and one OTP email.</t>
  </si>
  <si>
    <t xml:space="preserve">M5, A3</t>
  </si>
  <si>
    <t xml:space="preserve">TC-BUY-036</t>
  </si>
  <si>
    <t xml:space="preserve">[Mobile] Connection drops right after tapping Register</t>
  </si>
  <si>
    <t xml:space="preserve">1. Fill in every field with the test data.
2. Tap Register, then turn on Airplane mode within a second.
3. Turn Airplane mode off. If the form is still shown, tap Register again.
4. Check the mail catcher and try to log in.</t>
  </si>
  <si>
    <t xml:space="preserve">Email: buyer.test04@example.com
Mobile Number: 09170000003</t>
  </si>
  <si>
    <t xml:space="preserve">The app shows a connection error or a waiting state, never a frozen screen. In the end exactly one account exists with this email. If the first attempt was saved, the app continues normally (or says the account already exists and lets the user continue); the account is never left in a state the user cannot reach.</t>
  </si>
  <si>
    <t xml:space="preserve">TC-BUY-037</t>
  </si>
  <si>
    <t xml:space="preserve">[Mobile] Paste the OTP copied from the mail app</t>
  </si>
  <si>
    <t xml:space="preserve">A buyer account registered with the test data is Unverified. The verification screen is open in the app and the OTP email is open in a mail app or the mail catcher on the same phone.</t>
  </si>
  <si>
    <t xml:space="preserve">1. In the mail app, long-press the 6-digit code and copy it.
2. Return to the app, long-press the OTP field and tap Paste (or tap the code suggested above the keyboard).
3. Tap Verify if it does not verify by itself.</t>
  </si>
  <si>
    <t xml:space="preserve">Email: buyer.test05@example.com
Mobile Number: 09170000004
OTP: the code in the email</t>
  </si>
  <si>
    <t xml:space="preserve">All 6 digits fill the OTP field (every box, in order, when it is split into boxes). Verification succeeds and the status changes exactly as in the correct-OTP case.</t>
  </si>
  <si>
    <t xml:space="preserve">M3, A9</t>
  </si>
  <si>
    <t xml:space="preserve">TC-BUY-038</t>
  </si>
  <si>
    <t xml:space="preserve">[Mobile] OTP countdown after switching to the mail app</t>
  </si>
  <si>
    <t xml:space="preserve">A buyer account registered with the test data is Unverified and the verification screen has just opened.</t>
  </si>
  <si>
    <t xml:space="preserve">1. Note the time left on the verification screen.
2. Switch to the mail app for 2 minutes, then return.
3. Lock the screen until more than 5 minutes have passed since the code was sent, unlock, enter the code and tap Verify.</t>
  </si>
  <si>
    <t xml:space="preserve">Email: buyer.test06@example.com
Mobile Number: 09170000005
OTP: the code in the email</t>
  </si>
  <si>
    <t xml:space="preserve">After step 2 the verification screen is still open and shows about 3 minutes left (the countdown kept running; it did not restart at 5:00). In step 3 the code is rejected as expired and Resend is offered.</t>
  </si>
  <si>
    <t xml:space="preserve">M3, M4, A9</t>
  </si>
  <si>
    <t xml:space="preserve">TC-BUY-039</t>
  </si>
  <si>
    <t xml:space="preserve">[Mobile] System Back on the form and the verification screen</t>
  </si>
  <si>
    <t xml:space="preserve">1. Fill in a few fields, then press Android Back (or swipe back on iPhone).
2. Tap Cancel in the prompt, then press Back again and confirm leaving.
3. Register with a spare email to reach the verification screen and press Back.
4. Log in with that account.</t>
  </si>
  <si>
    <t xml:space="preserve">Spare email from the Test Data sheet (for example buyer.test09@example.com)</t>
  </si>
  <si>
    <t xml:space="preserve">Leaving a form with typed data asks first, and Cancel keeps every value. Back from the verification screen does not create a second account; the account stays Unverified, and the next login brings the user back to verification.</t>
  </si>
  <si>
    <t xml:space="preserve">M8, A9</t>
  </si>
  <si>
    <t xml:space="preserve">TC-BUY-040</t>
  </si>
  <si>
    <t xml:space="preserve">[Mobile] Large system font on a small screen</t>
  </si>
  <si>
    <t xml:space="preserve">1. Set the phone's font size and display size to the largest setting.
2. Open the buyer Sign Up screen and tap Register with every field empty.</t>
  </si>
  <si>
    <t xml:space="preserve">All labels, placeholders, error messages and buttons can be read in full; none are cut off or overlapping. The screen scrolls to every field and Register can be tapped.</t>
  </si>
  <si>
    <t xml:space="preserve">TC-BUY-041</t>
  </si>
  <si>
    <t xml:space="preserve">[Mobile] Stay logged in after closing the app or restarting the phone</t>
  </si>
  <si>
    <t xml:space="preserve">The buyer account juanmiguel.delacruz@example.com is verified and Active, and is logged in on the test phone.</t>
  </si>
  <si>
    <t xml:space="preserve">1. Swipe the app away from recent apps (force close) and reopen it.
2. Restart the phone and reopen the app.</t>
  </si>
  <si>
    <t xml:space="preserve">Each time the app opens on the buyer home screen still logged in, showing Juan Miguel. It does not ask to log in again and shows no other user's data.</t>
  </si>
  <si>
    <t xml:space="preserve">TC-BUY-042</t>
  </si>
  <si>
    <t xml:space="preserve">[Mobile] Back after logging out</t>
  </si>
  <si>
    <t xml:space="preserve">1. Tap Log Out.
2. Press Android Back (or swipe back) several times.
3. Reopen the app from recent apps.</t>
  </si>
  <si>
    <t xml:space="preserve">The login screen stays. No screen with account data appears again, and the app does not log back in by itself.</t>
  </si>
  <si>
    <t xml:space="preserve">M8, M9</t>
  </si>
</sst>
</file>

<file path=xl/styles.xml><?xml version="1.0" encoding="utf-8"?>
<styleSheet xmlns="http://schemas.openxmlformats.org/spreadsheetml/2006/main">
  <numFmts count="3">
    <numFmt numFmtId="164" formatCode="General"/>
    <numFmt numFmtId="165" formatCode="General"/>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6" fontId="5" fillId="0" borderId="1" xfId="0" applyFont="true" applyBorder="true" applyAlignment="true" applyProtection="false">
      <alignment horizontal="center" vertical="top" textRotation="0" wrapText="false" indent="0" shrinkToFit="false"/>
      <protection locked="true" hidden="false"/>
    </xf>
    <xf numFmtId="164" fontId="7" fillId="2" borderId="1" xfId="0" applyFont="true" applyBorder="true" applyAlignment="true" applyProtection="false">
      <alignment horizontal="left" vertical="top" textRotation="0" wrapText="false" indent="0" shrinkToFit="false"/>
      <protection locked="true" hidden="false"/>
    </xf>
    <xf numFmtId="165" fontId="7" fillId="2" borderId="1" xfId="0" applyFont="true" applyBorder="true" applyAlignment="true" applyProtection="false">
      <alignment horizontal="center" vertical="top" textRotation="0" wrapText="false" indent="0" shrinkToFit="false"/>
      <protection locked="true" hidden="false"/>
    </xf>
    <xf numFmtId="166" fontId="7" fillId="2"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8A4B00"/>
        <sz val="10"/>
      </font>
      <fill>
        <patternFill>
          <bgColor rgb="FFFFE0B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E0B2"/>
      <rgbColor rgb="FF3366FF"/>
      <rgbColor rgb="FF33CCCC"/>
      <rgbColor rgb="FF99CC00"/>
      <rgbColor rgb="FFFFCC00"/>
      <rgbColor rgb="FFFF9900"/>
      <rgbColor rgb="FFFF6600"/>
      <rgbColor rgb="FF666699"/>
      <rgbColor rgb="FF969696"/>
      <rgbColor rgb="FF1F3864"/>
      <rgbColor rgb="FF339966"/>
      <rgbColor rgb="FF003300"/>
      <rgbColor rgb="FF333300"/>
      <rgbColor rgb="FF8A4B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1" width="26"/>
    <col collapsed="false" customWidth="true" hidden="false" outlineLevel="0" max="4" min="2" style="1" width="34"/>
    <col collapsed="false" customWidth="true" hidden="false" outlineLevel="0" max="6" min="5" style="1" width="14"/>
    <col collapsed="false" customWidth="true" hidden="false" outlineLevel="0" max="7" min="7" style="1" width="3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15" hidden="false" customHeight="true" outlineLevel="0" collapsed="false">
      <c r="A5" s="5" t="s">
        <v>3</v>
      </c>
      <c r="B5" s="6"/>
    </row>
    <row r="6" customFormat="false" ht="15" hidden="false" customHeight="true" outlineLevel="0" collapsed="false">
      <c r="A6" s="5" t="s">
        <v>4</v>
      </c>
      <c r="B6" s="6"/>
    </row>
    <row r="7" customFormat="false" ht="23.25" hidden="false" customHeight="true" outlineLevel="0" collapsed="false">
      <c r="A7" s="5" t="s">
        <v>5</v>
      </c>
      <c r="B7" s="6"/>
    </row>
    <row r="8" customFormat="false" ht="15" hidden="false" customHeight="true" outlineLevel="0" collapsed="false">
      <c r="A8" s="5" t="s">
        <v>6</v>
      </c>
      <c r="B8" s="6"/>
    </row>
    <row r="9" customFormat="false" ht="15" hidden="false" customHeight="true" outlineLevel="0" collapsed="false">
      <c r="A9" s="5" t="s">
        <v>7</v>
      </c>
      <c r="B9" s="6"/>
    </row>
    <row r="11" customFormat="false" ht="15" hidden="false" customHeight="true" outlineLevel="0" collapsed="false">
      <c r="A11" s="4" t="s">
        <v>8</v>
      </c>
    </row>
    <row r="12" customFormat="false" ht="15" hidden="false" customHeight="true" outlineLevel="0" collapsed="false">
      <c r="A12" s="7" t="s">
        <v>9</v>
      </c>
      <c r="B12" s="7" t="s">
        <v>10</v>
      </c>
      <c r="C12" s="7" t="s">
        <v>11</v>
      </c>
      <c r="D12" s="7" t="s">
        <v>12</v>
      </c>
      <c r="E12" s="7" t="s">
        <v>13</v>
      </c>
      <c r="F12" s="7" t="s">
        <v>14</v>
      </c>
      <c r="G12" s="7" t="s">
        <v>15</v>
      </c>
    </row>
    <row r="13" customFormat="false" ht="15" hidden="false" customHeight="true" outlineLevel="0" collapsed="false">
      <c r="A13" s="8" t="s">
        <v>16</v>
      </c>
      <c r="B13" s="9" t="n">
        <f aca="false">COUNTA(Buyer!$A$2:$A$200)</f>
        <v>42</v>
      </c>
      <c r="C13" s="9" t="n">
        <f aca="false">COUNTIF(Buyer!$L$2:$L$200,"Pass")</f>
        <v>0</v>
      </c>
      <c r="D13" s="9" t="n">
        <f aca="false">COUNTIF(Buyer!$L$2:$L$200,"Fail")</f>
        <v>0</v>
      </c>
      <c r="E13" s="9" t="n">
        <f aca="false">COUNTIF(Buyer!$L$2:$L$200,"Blocked")</f>
        <v>0</v>
      </c>
      <c r="F13" s="9" t="n">
        <f aca="false">COUNTIF(Buyer!$L$2:$L$200,"Not Run")</f>
        <v>42</v>
      </c>
      <c r="G13" s="10" t="n">
        <f aca="false">IF(B13=0,0,C13/B13)</f>
        <v>0</v>
      </c>
    </row>
    <row r="14" customFormat="false" ht="15" hidden="false" customHeight="true" outlineLevel="0" collapsed="false">
      <c r="A14" s="8" t="s">
        <v>17</v>
      </c>
      <c r="B14" s="9" t="n">
        <v>0</v>
      </c>
      <c r="C14" s="9" t="n">
        <v>0</v>
      </c>
      <c r="D14" s="9" t="n">
        <v>0</v>
      </c>
      <c r="E14" s="9" t="n">
        <v>0</v>
      </c>
      <c r="F14" s="9" t="n">
        <v>0</v>
      </c>
      <c r="G14" s="10" t="n">
        <f aca="false">IF(B14=0,0,C14/B14)</f>
        <v>0</v>
      </c>
    </row>
    <row r="15" customFormat="false" ht="15" hidden="false" customHeight="true" outlineLevel="0" collapsed="false">
      <c r="A15" s="8" t="s">
        <v>18</v>
      </c>
      <c r="B15" s="9" t="n">
        <v>0</v>
      </c>
      <c r="C15" s="9" t="n">
        <v>0</v>
      </c>
      <c r="D15" s="9" t="n">
        <v>0</v>
      </c>
      <c r="E15" s="9" t="n">
        <v>0</v>
      </c>
      <c r="F15" s="9" t="n">
        <v>0</v>
      </c>
      <c r="G15" s="10" t="n">
        <f aca="false">IF(B15=0,0,C15/B15)</f>
        <v>0</v>
      </c>
    </row>
    <row r="16" customFormat="false" ht="15" hidden="false" customHeight="true" outlineLevel="0" collapsed="false">
      <c r="A16" s="8" t="s">
        <v>19</v>
      </c>
      <c r="B16" s="9" t="n">
        <v>0</v>
      </c>
      <c r="C16" s="9" t="n">
        <v>0</v>
      </c>
      <c r="D16" s="9" t="n">
        <v>0</v>
      </c>
      <c r="E16" s="9" t="n">
        <v>0</v>
      </c>
      <c r="F16" s="9" t="n">
        <v>0</v>
      </c>
      <c r="G16" s="10" t="n">
        <f aca="false">IF(B16=0,0,C16/B16)</f>
        <v>0</v>
      </c>
    </row>
    <row r="17" customFormat="false" ht="15" hidden="false" customHeight="true" outlineLevel="0" collapsed="false">
      <c r="A17" s="11" t="s">
        <v>20</v>
      </c>
      <c r="B17" s="12" t="n">
        <f aca="false">SUM(B13:B16)</f>
        <v>42</v>
      </c>
      <c r="C17" s="12" t="n">
        <f aca="false">SUM(C13:C16)</f>
        <v>0</v>
      </c>
      <c r="D17" s="12" t="n">
        <f aca="false">SUM(D13:D16)</f>
        <v>0</v>
      </c>
      <c r="E17" s="12" t="n">
        <f aca="false">SUM(E13:E16)</f>
        <v>0</v>
      </c>
      <c r="F17" s="12" t="n">
        <f aca="false">SUM(F13:F16)</f>
        <v>42</v>
      </c>
      <c r="G17" s="13" t="n">
        <f aca="false">IF(B17=0,0,C17/B17)</f>
        <v>0</v>
      </c>
    </row>
    <row r="19" customFormat="false" ht="15" hidden="false" customHeight="true" outlineLevel="0" collapsed="false">
      <c r="A19" s="4" t="s">
        <v>21</v>
      </c>
    </row>
    <row r="20" customFormat="false" ht="15.75" hidden="false" customHeight="true" outlineLevel="0" collapsed="false">
      <c r="A20" s="14" t="s">
        <v>22</v>
      </c>
      <c r="B20" s="14"/>
      <c r="C20" s="14"/>
      <c r="D20" s="14"/>
      <c r="E20" s="14"/>
      <c r="F20" s="14"/>
      <c r="G20" s="14"/>
    </row>
    <row r="21" customFormat="false" ht="30" hidden="false" customHeight="true" outlineLevel="0" collapsed="false">
      <c r="A21" s="14" t="s">
        <v>23</v>
      </c>
      <c r="B21" s="14"/>
      <c r="C21" s="14"/>
      <c r="D21" s="14"/>
      <c r="E21" s="14"/>
      <c r="F21" s="14"/>
      <c r="G21" s="14"/>
    </row>
    <row r="22" customFormat="false" ht="30" hidden="false" customHeight="true" outlineLevel="0" collapsed="false">
      <c r="A22" s="14" t="s">
        <v>24</v>
      </c>
      <c r="B22" s="14"/>
      <c r="C22" s="14"/>
      <c r="D22" s="14"/>
      <c r="E22" s="14"/>
      <c r="F22" s="14"/>
      <c r="G22" s="14"/>
    </row>
    <row r="23" customFormat="false" ht="30" hidden="false" customHeight="true" outlineLevel="0" collapsed="false">
      <c r="A23" s="14" t="s">
        <v>25</v>
      </c>
      <c r="B23" s="14"/>
      <c r="C23" s="14"/>
      <c r="D23" s="14"/>
      <c r="E23" s="14"/>
      <c r="F23" s="14"/>
      <c r="G23" s="14"/>
    </row>
    <row r="24" customFormat="false" ht="15.75" hidden="false" customHeight="true" outlineLevel="0" collapsed="false">
      <c r="A24" s="14" t="s">
        <v>26</v>
      </c>
      <c r="B24" s="14"/>
      <c r="C24" s="14"/>
      <c r="D24" s="14"/>
      <c r="E24" s="14"/>
      <c r="F24" s="14"/>
      <c r="G24" s="14"/>
    </row>
    <row r="25" customFormat="false" ht="15.75" hidden="false" customHeight="true" outlineLevel="0" collapsed="false">
      <c r="A25" s="14" t="s">
        <v>27</v>
      </c>
      <c r="B25" s="14"/>
      <c r="C25" s="14"/>
      <c r="D25" s="14"/>
      <c r="E25" s="14"/>
      <c r="F25" s="14"/>
      <c r="G25" s="14"/>
    </row>
    <row r="26" customFormat="false" ht="30" hidden="false" customHeight="true" outlineLevel="0" collapsed="false">
      <c r="A26" s="14" t="s">
        <v>28</v>
      </c>
      <c r="B26" s="14"/>
      <c r="C26" s="14"/>
      <c r="D26" s="14"/>
      <c r="E26" s="14"/>
      <c r="F26" s="14"/>
      <c r="G26" s="14"/>
    </row>
    <row r="27" customFormat="false" ht="15.75" hidden="false" customHeight="true" outlineLevel="0" collapsed="false">
      <c r="A27" s="14" t="s">
        <v>29</v>
      </c>
      <c r="B27" s="14"/>
      <c r="C27" s="14"/>
      <c r="D27" s="14"/>
      <c r="E27" s="14"/>
      <c r="F27" s="14"/>
      <c r="G27" s="14"/>
    </row>
    <row r="29" customFormat="false" ht="15" hidden="false" customHeight="true" outlineLevel="0" collapsed="false">
      <c r="A29" s="4" t="s">
        <v>30</v>
      </c>
    </row>
    <row r="30" customFormat="false" ht="15" hidden="false" customHeight="true" outlineLevel="0" collapsed="false">
      <c r="A30" s="7" t="s">
        <v>31</v>
      </c>
      <c r="B30" s="7" t="s">
        <v>32</v>
      </c>
      <c r="C30" s="7" t="s">
        <v>33</v>
      </c>
      <c r="D30" s="7" t="s">
        <v>34</v>
      </c>
      <c r="E30" s="7" t="s">
        <v>35</v>
      </c>
      <c r="F30" s="7" t="s">
        <v>36</v>
      </c>
    </row>
    <row r="31" customFormat="false" ht="54" hidden="false" customHeight="true" outlineLevel="0" collapsed="false">
      <c r="A31" s="15" t="s">
        <v>37</v>
      </c>
      <c r="B31" s="15" t="s">
        <v>38</v>
      </c>
      <c r="C31" s="15" t="s">
        <v>39</v>
      </c>
      <c r="D31" s="16" t="s">
        <v>40</v>
      </c>
      <c r="E31" s="16" t="s">
        <v>12</v>
      </c>
      <c r="F31" s="16" t="s">
        <v>41</v>
      </c>
    </row>
    <row r="34" customFormat="false" ht="15" hidden="false" customHeight="true" outlineLevel="0" collapsed="false">
      <c r="A34" s="4" t="s">
        <v>42</v>
      </c>
    </row>
    <row r="35" customFormat="false" ht="15" hidden="false" customHeight="true" outlineLevel="0" collapsed="false">
      <c r="A35" s="5" t="s">
        <v>43</v>
      </c>
      <c r="B35" s="17" t="s">
        <v>44</v>
      </c>
      <c r="C35" s="17"/>
      <c r="D35" s="17"/>
      <c r="E35" s="17"/>
      <c r="F35" s="17"/>
      <c r="G35" s="17"/>
    </row>
    <row r="36" customFormat="false" ht="15" hidden="false" customHeight="true" outlineLevel="0" collapsed="false">
      <c r="A36" s="5" t="s">
        <v>45</v>
      </c>
      <c r="B36" s="17" t="s">
        <v>46</v>
      </c>
      <c r="C36" s="17"/>
      <c r="D36" s="17"/>
      <c r="E36" s="17"/>
      <c r="F36" s="17"/>
      <c r="G36" s="17"/>
    </row>
    <row r="37" customFormat="false" ht="15" hidden="false" customHeight="true" outlineLevel="0" collapsed="false">
      <c r="A37" s="5" t="s">
        <v>47</v>
      </c>
      <c r="B37" s="17" t="s">
        <v>48</v>
      </c>
      <c r="C37" s="17"/>
      <c r="D37" s="17"/>
      <c r="E37" s="17"/>
      <c r="F37" s="17"/>
      <c r="G37" s="17"/>
    </row>
    <row r="38" customFormat="false" ht="15" hidden="false" customHeight="true" outlineLevel="0" collapsed="false">
      <c r="A38" s="5" t="s">
        <v>49</v>
      </c>
      <c r="B38" s="17" t="s">
        <v>50</v>
      </c>
      <c r="C38" s="17"/>
      <c r="D38" s="17"/>
      <c r="E38" s="17"/>
      <c r="F38" s="17"/>
      <c r="G38" s="17"/>
    </row>
    <row r="39" customFormat="false" ht="15" hidden="false" customHeight="true" outlineLevel="0" collapsed="false">
      <c r="A39" s="5" t="s">
        <v>51</v>
      </c>
      <c r="B39" s="17" t="s">
        <v>52</v>
      </c>
      <c r="C39" s="17"/>
      <c r="D39" s="17"/>
      <c r="E39" s="17"/>
      <c r="F39" s="17"/>
      <c r="G39" s="17"/>
    </row>
    <row r="40" customFormat="false" ht="15" hidden="false" customHeight="true" outlineLevel="0" collapsed="false">
      <c r="A40" s="5" t="s">
        <v>53</v>
      </c>
      <c r="B40" s="17" t="s">
        <v>54</v>
      </c>
      <c r="C40" s="17"/>
      <c r="D40" s="17"/>
      <c r="E40" s="17"/>
      <c r="F40" s="17"/>
      <c r="G40" s="17"/>
    </row>
    <row r="42" customFormat="false" ht="15" hidden="false" customHeight="false" outlineLevel="0" collapsed="false">
      <c r="A42" s="4" t="s">
        <v>55</v>
      </c>
    </row>
    <row r="43" customFormat="false" ht="30" hidden="false" customHeight="true" outlineLevel="0" collapsed="false">
      <c r="A43" s="14" t="s">
        <v>56</v>
      </c>
      <c r="B43" s="14"/>
      <c r="C43" s="14"/>
      <c r="D43" s="14"/>
      <c r="E43" s="14"/>
      <c r="F43" s="14"/>
      <c r="G43" s="14"/>
    </row>
    <row r="44" customFormat="false" ht="30" hidden="false" customHeight="true" outlineLevel="0" collapsed="false">
      <c r="A44" s="14" t="s">
        <v>57</v>
      </c>
      <c r="B44" s="14"/>
      <c r="C44" s="14"/>
      <c r="D44" s="14"/>
      <c r="E44" s="14"/>
      <c r="F44" s="14"/>
      <c r="G44" s="14"/>
    </row>
    <row r="45" customFormat="false" ht="42.75" hidden="false" customHeight="true" outlineLevel="0" collapsed="false">
      <c r="A45" s="14" t="s">
        <v>58</v>
      </c>
      <c r="B45" s="14"/>
      <c r="C45" s="14"/>
      <c r="D45" s="14"/>
      <c r="E45" s="14"/>
      <c r="F45" s="14"/>
      <c r="G45" s="14"/>
    </row>
    <row r="46" customFormat="false" ht="42.75" hidden="false" customHeight="true" outlineLevel="0" collapsed="false">
      <c r="A46" s="14" t="s">
        <v>59</v>
      </c>
      <c r="B46" s="14"/>
      <c r="C46" s="14"/>
      <c r="D46" s="14"/>
      <c r="E46" s="14"/>
      <c r="F46" s="14"/>
      <c r="G46" s="14"/>
    </row>
    <row r="47" customFormat="false" ht="30" hidden="false" customHeight="true" outlineLevel="0" collapsed="false">
      <c r="A47" s="14" t="s">
        <v>60</v>
      </c>
      <c r="B47" s="14"/>
      <c r="C47" s="14"/>
      <c r="D47" s="14"/>
      <c r="E47" s="14"/>
      <c r="F47" s="14"/>
      <c r="G47" s="14"/>
    </row>
    <row r="48" customFormat="false" ht="30" hidden="false" customHeight="true" outlineLevel="0" collapsed="false">
      <c r="A48" s="14" t="s">
        <v>61</v>
      </c>
      <c r="B48" s="14"/>
      <c r="C48" s="14"/>
      <c r="D48" s="14"/>
      <c r="E48" s="14"/>
      <c r="F48" s="14"/>
      <c r="G48" s="14"/>
    </row>
  </sheetData>
  <mergeCells count="20">
    <mergeCell ref="A20:G20"/>
    <mergeCell ref="A21:G21"/>
    <mergeCell ref="A22:G22"/>
    <mergeCell ref="A23:G23"/>
    <mergeCell ref="A24:G24"/>
    <mergeCell ref="A25:G25"/>
    <mergeCell ref="A26:G26"/>
    <mergeCell ref="A27:G27"/>
    <mergeCell ref="B35:G35"/>
    <mergeCell ref="B36:G36"/>
    <mergeCell ref="B37:G37"/>
    <mergeCell ref="B38:G38"/>
    <mergeCell ref="B39:G39"/>
    <mergeCell ref="B40:G40"/>
    <mergeCell ref="A43:G43"/>
    <mergeCell ref="A44:G44"/>
    <mergeCell ref="A45:G45"/>
    <mergeCell ref="A46:G46"/>
    <mergeCell ref="A47:G47"/>
    <mergeCell ref="A48:G4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1" width="11"/>
    <col collapsed="false" customWidth="true" hidden="false" outlineLevel="0" max="2" min="2" style="1" width="36"/>
    <col collapsed="false" customWidth="true" hidden="false" outlineLevel="0" max="3" min="3" style="1" width="22"/>
    <col collapsed="false" customWidth="true" hidden="false" outlineLevel="0" max="4" min="4" style="1" width="14"/>
    <col collapsed="false" customWidth="true" hidden="false" outlineLevel="0" max="5" min="5" style="1" width="42"/>
    <col collapsed="false" customWidth="true" hidden="false" outlineLevel="0" max="7" min="6" style="1" width="38"/>
  </cols>
  <sheetData>
    <row r="1" customFormat="false" ht="17.25" hidden="false" customHeight="true" outlineLevel="0" collapsed="false">
      <c r="A1" s="2" t="s">
        <v>62</v>
      </c>
    </row>
    <row r="2" customFormat="false" ht="30" hidden="false" customHeight="true" outlineLevel="0" collapsed="false">
      <c r="A2" s="14" t="s">
        <v>63</v>
      </c>
      <c r="B2" s="14"/>
      <c r="C2" s="14"/>
      <c r="D2" s="14"/>
      <c r="E2" s="14"/>
      <c r="F2" s="14"/>
      <c r="G2" s="14"/>
    </row>
    <row r="4" customFormat="false" ht="15" hidden="false" customHeight="true" outlineLevel="0" collapsed="false">
      <c r="A4" s="4" t="s">
        <v>64</v>
      </c>
    </row>
    <row r="5" customFormat="false" ht="15" hidden="false" customHeight="true" outlineLevel="0" collapsed="false">
      <c r="A5" s="7" t="s">
        <v>65</v>
      </c>
      <c r="B5" s="7" t="s">
        <v>66</v>
      </c>
      <c r="C5" s="7" t="s">
        <v>67</v>
      </c>
      <c r="D5" s="7" t="s">
        <v>68</v>
      </c>
      <c r="E5" s="7" t="s">
        <v>69</v>
      </c>
      <c r="F5" s="7" t="s">
        <v>70</v>
      </c>
      <c r="G5" s="7" t="s">
        <v>71</v>
      </c>
    </row>
    <row r="6" customFormat="false" ht="23.25" hidden="false" customHeight="true" outlineLevel="0" collapsed="false">
      <c r="A6" s="18" t="s">
        <v>16</v>
      </c>
      <c r="B6" s="5" t="s">
        <v>72</v>
      </c>
      <c r="C6" s="17" t="s">
        <v>73</v>
      </c>
      <c r="D6" s="17" t="s">
        <v>74</v>
      </c>
      <c r="E6" s="17" t="s">
        <v>75</v>
      </c>
      <c r="F6" s="17" t="s">
        <v>76</v>
      </c>
      <c r="G6" s="17" t="s">
        <v>77</v>
      </c>
    </row>
    <row r="7" customFormat="false" ht="23.25" hidden="false" customHeight="true" outlineLevel="0" collapsed="false">
      <c r="A7" s="18" t="s">
        <v>16</v>
      </c>
      <c r="B7" s="5" t="s">
        <v>78</v>
      </c>
      <c r="C7" s="17" t="s">
        <v>73</v>
      </c>
      <c r="D7" s="17" t="s">
        <v>74</v>
      </c>
      <c r="E7" s="17" t="s">
        <v>75</v>
      </c>
      <c r="F7" s="17" t="s">
        <v>79</v>
      </c>
      <c r="G7" s="17" t="s">
        <v>80</v>
      </c>
    </row>
    <row r="8" customFormat="false" ht="15" hidden="false" customHeight="true" outlineLevel="0" collapsed="false">
      <c r="A8" s="18" t="s">
        <v>16</v>
      </c>
      <c r="B8" s="5" t="s">
        <v>81</v>
      </c>
      <c r="C8" s="17" t="s">
        <v>73</v>
      </c>
      <c r="D8" s="17" t="s">
        <v>81</v>
      </c>
      <c r="E8" s="17" t="s">
        <v>82</v>
      </c>
      <c r="F8" s="17" t="s">
        <v>83</v>
      </c>
      <c r="G8" s="17" t="s">
        <v>84</v>
      </c>
    </row>
    <row r="9" customFormat="false" ht="15" hidden="false" customHeight="true" outlineLevel="0" collapsed="false">
      <c r="A9" s="18" t="s">
        <v>16</v>
      </c>
      <c r="B9" s="5" t="s">
        <v>85</v>
      </c>
      <c r="C9" s="17" t="s">
        <v>73</v>
      </c>
      <c r="D9" s="17" t="s">
        <v>74</v>
      </c>
      <c r="E9" s="17" t="s">
        <v>86</v>
      </c>
      <c r="F9" s="17" t="s">
        <v>87</v>
      </c>
      <c r="G9" s="17" t="s">
        <v>88</v>
      </c>
    </row>
    <row r="10" customFormat="false" ht="15" hidden="false" customHeight="true" outlineLevel="0" collapsed="false">
      <c r="A10" s="18" t="s">
        <v>16</v>
      </c>
      <c r="B10" s="5" t="s">
        <v>89</v>
      </c>
      <c r="C10" s="17" t="s">
        <v>73</v>
      </c>
      <c r="D10" s="17" t="s">
        <v>90</v>
      </c>
      <c r="E10" s="17" t="s">
        <v>91</v>
      </c>
      <c r="F10" s="17" t="s">
        <v>92</v>
      </c>
      <c r="G10" s="17" t="s">
        <v>93</v>
      </c>
    </row>
    <row r="11" customFormat="false" ht="23.25" hidden="false" customHeight="true" outlineLevel="0" collapsed="false">
      <c r="A11" s="18" t="s">
        <v>16</v>
      </c>
      <c r="B11" s="5" t="s">
        <v>94</v>
      </c>
      <c r="C11" s="17" t="s">
        <v>73</v>
      </c>
      <c r="D11" s="17" t="s">
        <v>94</v>
      </c>
      <c r="E11" s="17" t="s">
        <v>95</v>
      </c>
      <c r="F11" s="17" t="s">
        <v>96</v>
      </c>
      <c r="G11" s="17" t="s">
        <v>97</v>
      </c>
    </row>
    <row r="12" customFormat="false" ht="15" hidden="false" customHeight="true" outlineLevel="0" collapsed="false">
      <c r="A12" s="18" t="s">
        <v>16</v>
      </c>
      <c r="B12" s="5" t="s">
        <v>98</v>
      </c>
      <c r="C12" s="17" t="s">
        <v>73</v>
      </c>
      <c r="D12" s="17" t="s">
        <v>94</v>
      </c>
      <c r="E12" s="17" t="s">
        <v>99</v>
      </c>
      <c r="F12" s="17" t="s">
        <v>96</v>
      </c>
      <c r="G12" s="17" t="s">
        <v>97</v>
      </c>
    </row>
    <row r="13" customFormat="false" ht="15" hidden="false" customHeight="true" outlineLevel="0" collapsed="false">
      <c r="A13" s="18" t="s">
        <v>16</v>
      </c>
      <c r="B13" s="5" t="s">
        <v>100</v>
      </c>
      <c r="C13" s="17" t="s">
        <v>73</v>
      </c>
      <c r="D13" s="17" t="s">
        <v>101</v>
      </c>
      <c r="E13" s="17" t="s">
        <v>102</v>
      </c>
      <c r="F13" s="17" t="s">
        <v>103</v>
      </c>
      <c r="G13" s="17" t="s">
        <v>103</v>
      </c>
    </row>
    <row r="15" customFormat="false" ht="15" hidden="false" customHeight="true" outlineLevel="0" collapsed="false">
      <c r="A15" s="4" t="s">
        <v>104</v>
      </c>
    </row>
    <row r="16" customFormat="false" ht="15" hidden="false" customHeight="true" outlineLevel="0" collapsed="false">
      <c r="A16" s="7" t="s">
        <v>65</v>
      </c>
      <c r="B16" s="7" t="s">
        <v>66</v>
      </c>
      <c r="C16" s="7" t="s">
        <v>67</v>
      </c>
      <c r="D16" s="7" t="s">
        <v>68</v>
      </c>
      <c r="E16" s="7" t="s">
        <v>69</v>
      </c>
      <c r="F16" s="7" t="s">
        <v>70</v>
      </c>
      <c r="G16" s="7" t="s">
        <v>71</v>
      </c>
    </row>
    <row r="17" customFormat="false" ht="23.25" hidden="false" customHeight="true" outlineLevel="0" collapsed="false">
      <c r="A17" s="18" t="s">
        <v>105</v>
      </c>
      <c r="B17" s="5" t="s">
        <v>72</v>
      </c>
      <c r="C17" s="17" t="s">
        <v>73</v>
      </c>
      <c r="D17" s="17" t="s">
        <v>74</v>
      </c>
      <c r="E17" s="17" t="s">
        <v>75</v>
      </c>
      <c r="F17" s="17" t="s">
        <v>106</v>
      </c>
      <c r="G17" s="17" t="s">
        <v>107</v>
      </c>
    </row>
    <row r="18" customFormat="false" ht="23.25" hidden="false" customHeight="true" outlineLevel="0" collapsed="false">
      <c r="A18" s="18" t="s">
        <v>105</v>
      </c>
      <c r="B18" s="5" t="s">
        <v>78</v>
      </c>
      <c r="C18" s="17" t="s">
        <v>73</v>
      </c>
      <c r="D18" s="17" t="s">
        <v>74</v>
      </c>
      <c r="E18" s="17" t="s">
        <v>75</v>
      </c>
      <c r="F18" s="17" t="s">
        <v>108</v>
      </c>
      <c r="G18" s="17" t="s">
        <v>109</v>
      </c>
    </row>
    <row r="19" customFormat="false" ht="15" hidden="false" customHeight="true" outlineLevel="0" collapsed="false">
      <c r="A19" s="18" t="s">
        <v>105</v>
      </c>
      <c r="B19" s="5" t="s">
        <v>81</v>
      </c>
      <c r="C19" s="17" t="s">
        <v>73</v>
      </c>
      <c r="D19" s="17" t="s">
        <v>81</v>
      </c>
      <c r="E19" s="17" t="s">
        <v>82</v>
      </c>
      <c r="F19" s="17" t="s">
        <v>110</v>
      </c>
      <c r="G19" s="17" t="s">
        <v>111</v>
      </c>
    </row>
    <row r="20" customFormat="false" ht="15" hidden="false" customHeight="true" outlineLevel="0" collapsed="false">
      <c r="A20" s="18" t="s">
        <v>105</v>
      </c>
      <c r="B20" s="5" t="s">
        <v>85</v>
      </c>
      <c r="C20" s="17" t="s">
        <v>73</v>
      </c>
      <c r="D20" s="17" t="s">
        <v>74</v>
      </c>
      <c r="E20" s="17" t="s">
        <v>86</v>
      </c>
      <c r="F20" s="17" t="s">
        <v>112</v>
      </c>
      <c r="G20" s="17" t="s">
        <v>113</v>
      </c>
    </row>
    <row r="21" customFormat="false" ht="15" hidden="false" customHeight="true" outlineLevel="0" collapsed="false">
      <c r="A21" s="18" t="s">
        <v>105</v>
      </c>
      <c r="B21" s="5" t="s">
        <v>114</v>
      </c>
      <c r="C21" s="17" t="s">
        <v>73</v>
      </c>
      <c r="D21" s="17" t="s">
        <v>74</v>
      </c>
      <c r="E21" s="17" t="s">
        <v>115</v>
      </c>
      <c r="F21" s="17" t="s">
        <v>116</v>
      </c>
      <c r="G21" s="17" t="s">
        <v>117</v>
      </c>
    </row>
    <row r="22" customFormat="false" ht="15" hidden="false" customHeight="true" outlineLevel="0" collapsed="false">
      <c r="A22" s="18" t="s">
        <v>105</v>
      </c>
      <c r="B22" s="5" t="s">
        <v>118</v>
      </c>
      <c r="C22" s="17" t="s">
        <v>73</v>
      </c>
      <c r="D22" s="17" t="s">
        <v>119</v>
      </c>
      <c r="E22" s="17" t="s">
        <v>120</v>
      </c>
      <c r="F22" s="17" t="s">
        <v>121</v>
      </c>
      <c r="G22" s="17" t="s">
        <v>122</v>
      </c>
    </row>
    <row r="23" customFormat="false" ht="15" hidden="false" customHeight="true" outlineLevel="0" collapsed="false">
      <c r="A23" s="18" t="s">
        <v>105</v>
      </c>
      <c r="B23" s="5" t="s">
        <v>123</v>
      </c>
      <c r="C23" s="17" t="s">
        <v>73</v>
      </c>
      <c r="D23" s="17" t="s">
        <v>119</v>
      </c>
      <c r="E23" s="17" t="s">
        <v>124</v>
      </c>
      <c r="F23" s="17" t="s">
        <v>125</v>
      </c>
      <c r="G23" s="17" t="s">
        <v>126</v>
      </c>
    </row>
    <row r="24" customFormat="false" ht="15" hidden="false" customHeight="true" outlineLevel="0" collapsed="false">
      <c r="A24" s="18" t="s">
        <v>105</v>
      </c>
      <c r="B24" s="5" t="s">
        <v>127</v>
      </c>
      <c r="C24" s="17" t="s">
        <v>73</v>
      </c>
      <c r="D24" s="17" t="s">
        <v>74</v>
      </c>
      <c r="E24" s="17" t="s">
        <v>128</v>
      </c>
      <c r="F24" s="17" t="s">
        <v>129</v>
      </c>
      <c r="G24" s="17" t="s">
        <v>130</v>
      </c>
    </row>
    <row r="25" customFormat="false" ht="15" hidden="false" customHeight="true" outlineLevel="0" collapsed="false">
      <c r="A25" s="18" t="s">
        <v>105</v>
      </c>
      <c r="B25" s="5" t="s">
        <v>131</v>
      </c>
      <c r="C25" s="17" t="s">
        <v>73</v>
      </c>
      <c r="D25" s="17" t="s">
        <v>119</v>
      </c>
      <c r="E25" s="17" t="s">
        <v>132</v>
      </c>
      <c r="F25" s="17" t="s">
        <v>133</v>
      </c>
      <c r="G25" s="17" t="s">
        <v>134</v>
      </c>
    </row>
    <row r="26" customFormat="false" ht="15" hidden="false" customHeight="true" outlineLevel="0" collapsed="false">
      <c r="A26" s="18" t="s">
        <v>105</v>
      </c>
      <c r="B26" s="5" t="s">
        <v>135</v>
      </c>
      <c r="C26" s="17" t="s">
        <v>73</v>
      </c>
      <c r="D26" s="17" t="s">
        <v>119</v>
      </c>
      <c r="E26" s="17" t="s">
        <v>136</v>
      </c>
      <c r="F26" s="17" t="s">
        <v>137</v>
      </c>
      <c r="G26" s="17" t="s">
        <v>138</v>
      </c>
    </row>
    <row r="27" customFormat="false" ht="15" hidden="false" customHeight="true" outlineLevel="0" collapsed="false">
      <c r="A27" s="18" t="s">
        <v>105</v>
      </c>
      <c r="B27" s="5" t="s">
        <v>139</v>
      </c>
      <c r="C27" s="17" t="s">
        <v>73</v>
      </c>
      <c r="D27" s="17" t="s">
        <v>119</v>
      </c>
      <c r="E27" s="17" t="s">
        <v>140</v>
      </c>
      <c r="F27" s="17" t="s">
        <v>141</v>
      </c>
      <c r="G27" s="17" t="s">
        <v>142</v>
      </c>
    </row>
    <row r="28" customFormat="false" ht="15" hidden="false" customHeight="true" outlineLevel="0" collapsed="false">
      <c r="A28" s="18" t="s">
        <v>105</v>
      </c>
      <c r="B28" s="5" t="s">
        <v>143</v>
      </c>
      <c r="C28" s="17" t="s">
        <v>73</v>
      </c>
      <c r="D28" s="17" t="s">
        <v>119</v>
      </c>
      <c r="E28" s="17" t="s">
        <v>144</v>
      </c>
      <c r="F28" s="17" t="s">
        <v>145</v>
      </c>
      <c r="G28" s="17" t="s">
        <v>146</v>
      </c>
    </row>
    <row r="29" customFormat="false" ht="15" hidden="false" customHeight="true" outlineLevel="0" collapsed="false">
      <c r="A29" s="18" t="s">
        <v>105</v>
      </c>
      <c r="B29" s="5" t="s">
        <v>147</v>
      </c>
      <c r="C29" s="17" t="s">
        <v>73</v>
      </c>
      <c r="D29" s="17" t="s">
        <v>74</v>
      </c>
      <c r="E29" s="17" t="s">
        <v>148</v>
      </c>
      <c r="F29" s="17" t="s">
        <v>149</v>
      </c>
      <c r="G29" s="17" t="s">
        <v>150</v>
      </c>
    </row>
    <row r="30" customFormat="false" ht="15" hidden="false" customHeight="true" outlineLevel="0" collapsed="false">
      <c r="A30" s="18" t="s">
        <v>105</v>
      </c>
      <c r="B30" s="5" t="s">
        <v>151</v>
      </c>
      <c r="C30" s="17" t="s">
        <v>73</v>
      </c>
      <c r="D30" s="17" t="s">
        <v>74</v>
      </c>
      <c r="E30" s="17" t="s">
        <v>152</v>
      </c>
      <c r="F30" s="17" t="s">
        <v>153</v>
      </c>
      <c r="G30" s="17" t="s">
        <v>154</v>
      </c>
    </row>
    <row r="31" customFormat="false" ht="15" hidden="false" customHeight="true" outlineLevel="0" collapsed="false">
      <c r="A31" s="18" t="s">
        <v>105</v>
      </c>
      <c r="B31" s="5" t="s">
        <v>155</v>
      </c>
      <c r="C31" s="17" t="s">
        <v>73</v>
      </c>
      <c r="D31" s="17" t="s">
        <v>156</v>
      </c>
      <c r="E31" s="17" t="s">
        <v>157</v>
      </c>
      <c r="F31" s="17" t="s">
        <v>158</v>
      </c>
      <c r="G31" s="17" t="s">
        <v>159</v>
      </c>
    </row>
    <row r="32" customFormat="false" ht="15" hidden="false" customHeight="true" outlineLevel="0" collapsed="false">
      <c r="A32" s="18" t="s">
        <v>105</v>
      </c>
      <c r="B32" s="5" t="s">
        <v>160</v>
      </c>
      <c r="C32" s="17" t="s">
        <v>161</v>
      </c>
      <c r="D32" s="17" t="s">
        <v>156</v>
      </c>
      <c r="E32" s="17" t="s">
        <v>157</v>
      </c>
      <c r="F32" s="17" t="s">
        <v>162</v>
      </c>
      <c r="G32" s="17" t="s">
        <v>163</v>
      </c>
    </row>
    <row r="33" customFormat="false" ht="15" hidden="false" customHeight="true" outlineLevel="0" collapsed="false">
      <c r="A33" s="18" t="s">
        <v>105</v>
      </c>
      <c r="B33" s="5" t="s">
        <v>164</v>
      </c>
      <c r="C33" s="17" t="s">
        <v>165</v>
      </c>
      <c r="D33" s="17" t="s">
        <v>156</v>
      </c>
      <c r="E33" s="17" t="s">
        <v>157</v>
      </c>
      <c r="F33" s="17" t="s">
        <v>163</v>
      </c>
      <c r="G33" s="17" t="s">
        <v>166</v>
      </c>
    </row>
    <row r="34" customFormat="false" ht="23.25" hidden="false" customHeight="true" outlineLevel="0" collapsed="false">
      <c r="A34" s="18" t="s">
        <v>105</v>
      </c>
      <c r="B34" s="5" t="s">
        <v>167</v>
      </c>
      <c r="C34" s="17" t="s">
        <v>168</v>
      </c>
      <c r="D34" s="17" t="s">
        <v>156</v>
      </c>
      <c r="E34" s="17" t="s">
        <v>157</v>
      </c>
      <c r="F34" s="17" t="s">
        <v>169</v>
      </c>
      <c r="G34" s="17" t="s">
        <v>169</v>
      </c>
    </row>
    <row r="35" customFormat="false" ht="23.25" hidden="false" customHeight="true" outlineLevel="0" collapsed="false">
      <c r="A35" s="18" t="s">
        <v>105</v>
      </c>
      <c r="B35" s="5" t="s">
        <v>94</v>
      </c>
      <c r="C35" s="17" t="s">
        <v>73</v>
      </c>
      <c r="D35" s="17" t="s">
        <v>94</v>
      </c>
      <c r="E35" s="17" t="s">
        <v>95</v>
      </c>
      <c r="F35" s="17" t="s">
        <v>170</v>
      </c>
      <c r="G35" s="17" t="s">
        <v>171</v>
      </c>
    </row>
    <row r="36" customFormat="false" ht="15" hidden="false" customHeight="true" outlineLevel="0" collapsed="false">
      <c r="A36" s="18" t="s">
        <v>105</v>
      </c>
      <c r="B36" s="5" t="s">
        <v>98</v>
      </c>
      <c r="C36" s="17" t="s">
        <v>73</v>
      </c>
      <c r="D36" s="17" t="s">
        <v>94</v>
      </c>
      <c r="E36" s="17" t="s">
        <v>99</v>
      </c>
      <c r="F36" s="17" t="s">
        <v>170</v>
      </c>
      <c r="G36" s="17" t="s">
        <v>171</v>
      </c>
    </row>
    <row r="37" customFormat="false" ht="15" hidden="false" customHeight="true" outlineLevel="0" collapsed="false">
      <c r="A37" s="18" t="s">
        <v>105</v>
      </c>
      <c r="B37" s="5" t="s">
        <v>100</v>
      </c>
      <c r="C37" s="17" t="s">
        <v>73</v>
      </c>
      <c r="D37" s="17" t="s">
        <v>101</v>
      </c>
      <c r="E37" s="17" t="s">
        <v>102</v>
      </c>
      <c r="F37" s="17" t="s">
        <v>103</v>
      </c>
      <c r="G37" s="17" t="s">
        <v>103</v>
      </c>
    </row>
    <row r="39" customFormat="false" ht="15" hidden="false" customHeight="true" outlineLevel="0" collapsed="false">
      <c r="A39" s="4" t="s">
        <v>172</v>
      </c>
    </row>
    <row r="40" customFormat="false" ht="15" hidden="false" customHeight="true" outlineLevel="0" collapsed="false">
      <c r="A40" s="7" t="s">
        <v>65</v>
      </c>
      <c r="B40" s="7" t="s">
        <v>66</v>
      </c>
      <c r="C40" s="7" t="s">
        <v>67</v>
      </c>
      <c r="D40" s="7" t="s">
        <v>68</v>
      </c>
      <c r="E40" s="7" t="s">
        <v>69</v>
      </c>
      <c r="F40" s="7" t="s">
        <v>70</v>
      </c>
      <c r="G40" s="7" t="s">
        <v>71</v>
      </c>
    </row>
    <row r="41" customFormat="false" ht="15" hidden="false" customHeight="true" outlineLevel="0" collapsed="false">
      <c r="A41" s="18" t="s">
        <v>173</v>
      </c>
      <c r="B41" s="5" t="s">
        <v>174</v>
      </c>
      <c r="C41" s="17" t="s">
        <v>73</v>
      </c>
      <c r="D41" s="17" t="s">
        <v>74</v>
      </c>
      <c r="E41" s="17" t="s">
        <v>175</v>
      </c>
      <c r="F41" s="17" t="s">
        <v>176</v>
      </c>
      <c r="G41" s="17" t="s">
        <v>177</v>
      </c>
    </row>
    <row r="42" customFormat="false" ht="15" hidden="false" customHeight="true" outlineLevel="0" collapsed="false">
      <c r="A42" s="18" t="s">
        <v>173</v>
      </c>
      <c r="B42" s="5" t="s">
        <v>178</v>
      </c>
      <c r="C42" s="17" t="s">
        <v>73</v>
      </c>
      <c r="D42" s="17" t="s">
        <v>74</v>
      </c>
      <c r="E42" s="17" t="s">
        <v>179</v>
      </c>
      <c r="F42" s="17" t="s">
        <v>180</v>
      </c>
      <c r="G42" s="17" t="s">
        <v>181</v>
      </c>
    </row>
    <row r="43" customFormat="false" ht="15" hidden="false" customHeight="true" outlineLevel="0" collapsed="false">
      <c r="A43" s="18" t="s">
        <v>173</v>
      </c>
      <c r="B43" s="5" t="s">
        <v>127</v>
      </c>
      <c r="C43" s="17" t="s">
        <v>73</v>
      </c>
      <c r="D43" s="17" t="s">
        <v>74</v>
      </c>
      <c r="E43" s="17" t="s">
        <v>128</v>
      </c>
      <c r="F43" s="17" t="s">
        <v>182</v>
      </c>
      <c r="G43" s="17" t="s">
        <v>183</v>
      </c>
    </row>
    <row r="44" customFormat="false" ht="15" hidden="false" customHeight="true" outlineLevel="0" collapsed="false">
      <c r="A44" s="18" t="s">
        <v>173</v>
      </c>
      <c r="B44" s="5" t="s">
        <v>131</v>
      </c>
      <c r="C44" s="17" t="s">
        <v>73</v>
      </c>
      <c r="D44" s="17" t="s">
        <v>119</v>
      </c>
      <c r="E44" s="17" t="s">
        <v>132</v>
      </c>
      <c r="F44" s="17" t="s">
        <v>133</v>
      </c>
      <c r="G44" s="17" t="s">
        <v>184</v>
      </c>
    </row>
    <row r="45" customFormat="false" ht="15" hidden="false" customHeight="true" outlineLevel="0" collapsed="false">
      <c r="A45" s="18" t="s">
        <v>173</v>
      </c>
      <c r="B45" s="5" t="s">
        <v>135</v>
      </c>
      <c r="C45" s="17" t="s">
        <v>73</v>
      </c>
      <c r="D45" s="17" t="s">
        <v>119</v>
      </c>
      <c r="E45" s="17" t="s">
        <v>136</v>
      </c>
      <c r="F45" s="17" t="s">
        <v>137</v>
      </c>
      <c r="G45" s="17" t="s">
        <v>185</v>
      </c>
    </row>
    <row r="46" customFormat="false" ht="15" hidden="false" customHeight="true" outlineLevel="0" collapsed="false">
      <c r="A46" s="18" t="s">
        <v>173</v>
      </c>
      <c r="B46" s="5" t="s">
        <v>139</v>
      </c>
      <c r="C46" s="17" t="s">
        <v>73</v>
      </c>
      <c r="D46" s="17" t="s">
        <v>119</v>
      </c>
      <c r="E46" s="17" t="s">
        <v>140</v>
      </c>
      <c r="F46" s="17" t="s">
        <v>186</v>
      </c>
      <c r="G46" s="17" t="s">
        <v>187</v>
      </c>
    </row>
    <row r="47" customFormat="false" ht="15" hidden="false" customHeight="true" outlineLevel="0" collapsed="false">
      <c r="A47" s="18" t="s">
        <v>173</v>
      </c>
      <c r="B47" s="5" t="s">
        <v>143</v>
      </c>
      <c r="C47" s="17" t="s">
        <v>73</v>
      </c>
      <c r="D47" s="17" t="s">
        <v>119</v>
      </c>
      <c r="E47" s="17" t="s">
        <v>144</v>
      </c>
      <c r="F47" s="17" t="s">
        <v>188</v>
      </c>
      <c r="G47" s="17" t="s">
        <v>189</v>
      </c>
    </row>
    <row r="48" customFormat="false" ht="15" hidden="false" customHeight="true" outlineLevel="0" collapsed="false">
      <c r="A48" s="18" t="s">
        <v>173</v>
      </c>
      <c r="B48" s="5" t="s">
        <v>147</v>
      </c>
      <c r="C48" s="17" t="s">
        <v>73</v>
      </c>
      <c r="D48" s="17" t="s">
        <v>74</v>
      </c>
      <c r="E48" s="17" t="s">
        <v>148</v>
      </c>
      <c r="F48" s="17" t="s">
        <v>190</v>
      </c>
      <c r="G48" s="17" t="s">
        <v>191</v>
      </c>
    </row>
    <row r="49" customFormat="false" ht="15" hidden="false" customHeight="true" outlineLevel="0" collapsed="false">
      <c r="A49" s="18" t="s">
        <v>173</v>
      </c>
      <c r="B49" s="5" t="s">
        <v>151</v>
      </c>
      <c r="C49" s="17" t="s">
        <v>73</v>
      </c>
      <c r="D49" s="17" t="s">
        <v>74</v>
      </c>
      <c r="E49" s="17" t="s">
        <v>152</v>
      </c>
      <c r="F49" s="17" t="s">
        <v>192</v>
      </c>
      <c r="G49" s="17" t="s">
        <v>193</v>
      </c>
    </row>
    <row r="50" customFormat="false" ht="23.25" hidden="false" customHeight="true" outlineLevel="0" collapsed="false">
      <c r="A50" s="18" t="s">
        <v>173</v>
      </c>
      <c r="B50" s="5" t="s">
        <v>194</v>
      </c>
      <c r="C50" s="17" t="s">
        <v>73</v>
      </c>
      <c r="D50" s="17" t="s">
        <v>74</v>
      </c>
      <c r="E50" s="17" t="s">
        <v>75</v>
      </c>
      <c r="F50" s="17" t="s">
        <v>195</v>
      </c>
      <c r="G50" s="17" t="s">
        <v>196</v>
      </c>
    </row>
    <row r="51" customFormat="false" ht="23.25" hidden="false" customHeight="true" outlineLevel="0" collapsed="false">
      <c r="A51" s="18" t="s">
        <v>173</v>
      </c>
      <c r="B51" s="5" t="s">
        <v>197</v>
      </c>
      <c r="C51" s="17" t="s">
        <v>73</v>
      </c>
      <c r="D51" s="17" t="s">
        <v>74</v>
      </c>
      <c r="E51" s="17" t="s">
        <v>75</v>
      </c>
      <c r="F51" s="17" t="s">
        <v>198</v>
      </c>
      <c r="G51" s="17" t="s">
        <v>199</v>
      </c>
    </row>
    <row r="52" customFormat="false" ht="15" hidden="false" customHeight="true" outlineLevel="0" collapsed="false">
      <c r="A52" s="18" t="s">
        <v>173</v>
      </c>
      <c r="B52" s="5" t="s">
        <v>200</v>
      </c>
      <c r="C52" s="17" t="s">
        <v>73</v>
      </c>
      <c r="D52" s="17" t="s">
        <v>74</v>
      </c>
      <c r="E52" s="17" t="s">
        <v>201</v>
      </c>
      <c r="F52" s="17" t="s">
        <v>202</v>
      </c>
      <c r="G52" s="17" t="s">
        <v>203</v>
      </c>
    </row>
    <row r="53" customFormat="false" ht="15" hidden="false" customHeight="true" outlineLevel="0" collapsed="false">
      <c r="A53" s="18" t="s">
        <v>173</v>
      </c>
      <c r="B53" s="5" t="s">
        <v>81</v>
      </c>
      <c r="C53" s="17" t="s">
        <v>73</v>
      </c>
      <c r="D53" s="17" t="s">
        <v>81</v>
      </c>
      <c r="E53" s="17" t="s">
        <v>82</v>
      </c>
      <c r="F53" s="17" t="s">
        <v>204</v>
      </c>
      <c r="G53" s="17" t="s">
        <v>205</v>
      </c>
    </row>
    <row r="54" customFormat="false" ht="15" hidden="false" customHeight="true" outlineLevel="0" collapsed="false">
      <c r="A54" s="18" t="s">
        <v>173</v>
      </c>
      <c r="B54" s="5" t="s">
        <v>85</v>
      </c>
      <c r="C54" s="17" t="s">
        <v>73</v>
      </c>
      <c r="D54" s="17" t="s">
        <v>74</v>
      </c>
      <c r="E54" s="17" t="s">
        <v>86</v>
      </c>
      <c r="F54" s="17" t="s">
        <v>206</v>
      </c>
      <c r="G54" s="17" t="s">
        <v>207</v>
      </c>
    </row>
    <row r="55" customFormat="false" ht="15" hidden="false" customHeight="true" outlineLevel="0" collapsed="false">
      <c r="A55" s="18" t="s">
        <v>173</v>
      </c>
      <c r="B55" s="5" t="s">
        <v>208</v>
      </c>
      <c r="C55" s="17" t="s">
        <v>73</v>
      </c>
      <c r="D55" s="17" t="s">
        <v>209</v>
      </c>
      <c r="E55" s="17" t="s">
        <v>210</v>
      </c>
      <c r="F55" s="17" t="s">
        <v>211</v>
      </c>
      <c r="G55" s="17" t="s">
        <v>184</v>
      </c>
    </row>
    <row r="56" customFormat="false" ht="15" hidden="false" customHeight="true" outlineLevel="0" collapsed="false">
      <c r="A56" s="18" t="s">
        <v>173</v>
      </c>
      <c r="B56" s="5" t="s">
        <v>164</v>
      </c>
      <c r="C56" s="17" t="s">
        <v>73</v>
      </c>
      <c r="D56" s="17" t="s">
        <v>156</v>
      </c>
      <c r="E56" s="17" t="s">
        <v>157</v>
      </c>
      <c r="F56" s="17" t="s">
        <v>166</v>
      </c>
      <c r="G56" s="17" t="s">
        <v>166</v>
      </c>
    </row>
    <row r="57" customFormat="false" ht="15" hidden="false" customHeight="true" outlineLevel="0" collapsed="false">
      <c r="A57" s="18" t="s">
        <v>173</v>
      </c>
      <c r="B57" s="5" t="s">
        <v>167</v>
      </c>
      <c r="C57" s="17" t="s">
        <v>73</v>
      </c>
      <c r="D57" s="17" t="s">
        <v>156</v>
      </c>
      <c r="E57" s="17" t="s">
        <v>157</v>
      </c>
      <c r="F57" s="17" t="s">
        <v>169</v>
      </c>
      <c r="G57" s="17" t="s">
        <v>169</v>
      </c>
    </row>
    <row r="58" customFormat="false" ht="15" hidden="false" customHeight="true" outlineLevel="0" collapsed="false">
      <c r="A58" s="18" t="s">
        <v>173</v>
      </c>
      <c r="B58" s="5" t="s">
        <v>212</v>
      </c>
      <c r="C58" s="17" t="s">
        <v>73</v>
      </c>
      <c r="D58" s="17" t="s">
        <v>156</v>
      </c>
      <c r="E58" s="17" t="s">
        <v>157</v>
      </c>
      <c r="F58" s="17" t="s">
        <v>213</v>
      </c>
      <c r="G58" s="17" t="s">
        <v>213</v>
      </c>
    </row>
    <row r="59" customFormat="false" ht="15" hidden="false" customHeight="true" outlineLevel="0" collapsed="false">
      <c r="A59" s="18" t="s">
        <v>173</v>
      </c>
      <c r="B59" s="5" t="s">
        <v>214</v>
      </c>
      <c r="C59" s="17" t="s">
        <v>73</v>
      </c>
      <c r="D59" s="17" t="s">
        <v>156</v>
      </c>
      <c r="E59" s="17" t="s">
        <v>157</v>
      </c>
      <c r="F59" s="17" t="s">
        <v>158</v>
      </c>
      <c r="G59" s="17" t="s">
        <v>159</v>
      </c>
    </row>
    <row r="60" customFormat="false" ht="23.25" hidden="false" customHeight="true" outlineLevel="0" collapsed="false">
      <c r="A60" s="18" t="s">
        <v>173</v>
      </c>
      <c r="B60" s="5" t="s">
        <v>94</v>
      </c>
      <c r="C60" s="17" t="s">
        <v>73</v>
      </c>
      <c r="D60" s="17" t="s">
        <v>94</v>
      </c>
      <c r="E60" s="17" t="s">
        <v>95</v>
      </c>
      <c r="F60" s="17" t="s">
        <v>215</v>
      </c>
      <c r="G60" s="17" t="s">
        <v>216</v>
      </c>
    </row>
    <row r="61" customFormat="false" ht="15" hidden="false" customHeight="true" outlineLevel="0" collapsed="false">
      <c r="A61" s="18" t="s">
        <v>173</v>
      </c>
      <c r="B61" s="5" t="s">
        <v>98</v>
      </c>
      <c r="C61" s="17" t="s">
        <v>73</v>
      </c>
      <c r="D61" s="17" t="s">
        <v>94</v>
      </c>
      <c r="E61" s="17" t="s">
        <v>99</v>
      </c>
      <c r="F61" s="17" t="s">
        <v>215</v>
      </c>
      <c r="G61" s="17" t="s">
        <v>216</v>
      </c>
    </row>
    <row r="62" customFormat="false" ht="15" hidden="false" customHeight="true" outlineLevel="0" collapsed="false">
      <c r="A62" s="18" t="s">
        <v>173</v>
      </c>
      <c r="B62" s="5" t="s">
        <v>100</v>
      </c>
      <c r="C62" s="17" t="s">
        <v>73</v>
      </c>
      <c r="D62" s="17" t="s">
        <v>101</v>
      </c>
      <c r="E62" s="17" t="s">
        <v>102</v>
      </c>
      <c r="F62" s="17" t="s">
        <v>103</v>
      </c>
      <c r="G62" s="17" t="s">
        <v>103</v>
      </c>
    </row>
    <row r="64" customFormat="false" ht="15" hidden="false" customHeight="true" outlineLevel="0" collapsed="false">
      <c r="A64" s="4" t="s">
        <v>217</v>
      </c>
    </row>
    <row r="65" customFormat="false" ht="15" hidden="false" customHeight="true" outlineLevel="0" collapsed="false">
      <c r="A65" s="7" t="s">
        <v>65</v>
      </c>
      <c r="B65" s="7" t="s">
        <v>66</v>
      </c>
      <c r="C65" s="7" t="s">
        <v>67</v>
      </c>
      <c r="D65" s="7" t="s">
        <v>68</v>
      </c>
      <c r="E65" s="7" t="s">
        <v>69</v>
      </c>
      <c r="F65" s="7" t="s">
        <v>70</v>
      </c>
      <c r="G65" s="7" t="s">
        <v>71</v>
      </c>
    </row>
    <row r="66" customFormat="false" ht="23.25" hidden="false" customHeight="true" outlineLevel="0" collapsed="false">
      <c r="A66" s="18" t="s">
        <v>218</v>
      </c>
      <c r="B66" s="5" t="s">
        <v>72</v>
      </c>
      <c r="C66" s="17" t="s">
        <v>73</v>
      </c>
      <c r="D66" s="17" t="s">
        <v>74</v>
      </c>
      <c r="E66" s="17" t="s">
        <v>75</v>
      </c>
      <c r="F66" s="17" t="s">
        <v>219</v>
      </c>
      <c r="G66" s="17" t="s">
        <v>220</v>
      </c>
    </row>
    <row r="67" customFormat="false" ht="23.25" hidden="false" customHeight="true" outlineLevel="0" collapsed="false">
      <c r="A67" s="18" t="s">
        <v>218</v>
      </c>
      <c r="B67" s="5" t="s">
        <v>78</v>
      </c>
      <c r="C67" s="17" t="s">
        <v>73</v>
      </c>
      <c r="D67" s="17" t="s">
        <v>74</v>
      </c>
      <c r="E67" s="17" t="s">
        <v>75</v>
      </c>
      <c r="F67" s="17" t="s">
        <v>221</v>
      </c>
      <c r="G67" s="17" t="s">
        <v>222</v>
      </c>
    </row>
    <row r="68" customFormat="false" ht="15" hidden="false" customHeight="true" outlineLevel="0" collapsed="false">
      <c r="A68" s="18" t="s">
        <v>218</v>
      </c>
      <c r="B68" s="5" t="s">
        <v>89</v>
      </c>
      <c r="C68" s="17" t="s">
        <v>73</v>
      </c>
      <c r="D68" s="17" t="s">
        <v>90</v>
      </c>
      <c r="E68" s="17" t="s">
        <v>91</v>
      </c>
      <c r="F68" s="17" t="s">
        <v>223</v>
      </c>
      <c r="G68" s="17" t="s">
        <v>224</v>
      </c>
    </row>
    <row r="69" customFormat="false" ht="15" hidden="false" customHeight="true" outlineLevel="0" collapsed="false">
      <c r="A69" s="18" t="s">
        <v>218</v>
      </c>
      <c r="B69" s="5" t="s">
        <v>81</v>
      </c>
      <c r="C69" s="17" t="s">
        <v>73</v>
      </c>
      <c r="D69" s="17" t="s">
        <v>81</v>
      </c>
      <c r="E69" s="17" t="s">
        <v>82</v>
      </c>
      <c r="F69" s="17" t="s">
        <v>225</v>
      </c>
      <c r="G69" s="17" t="s">
        <v>226</v>
      </c>
    </row>
    <row r="70" customFormat="false" ht="15" hidden="false" customHeight="true" outlineLevel="0" collapsed="false">
      <c r="A70" s="18" t="s">
        <v>218</v>
      </c>
      <c r="B70" s="5" t="s">
        <v>85</v>
      </c>
      <c r="C70" s="17" t="s">
        <v>73</v>
      </c>
      <c r="D70" s="17" t="s">
        <v>74</v>
      </c>
      <c r="E70" s="17" t="s">
        <v>86</v>
      </c>
      <c r="F70" s="17" t="s">
        <v>227</v>
      </c>
      <c r="G70" s="17" t="s">
        <v>228</v>
      </c>
    </row>
    <row r="71" customFormat="false" ht="15" hidden="false" customHeight="true" outlineLevel="0" collapsed="false">
      <c r="A71" s="18" t="s">
        <v>218</v>
      </c>
      <c r="B71" s="5" t="s">
        <v>229</v>
      </c>
      <c r="C71" s="17" t="s">
        <v>73</v>
      </c>
      <c r="D71" s="17" t="s">
        <v>74</v>
      </c>
      <c r="E71" s="17" t="s">
        <v>230</v>
      </c>
      <c r="F71" s="17" t="s">
        <v>231</v>
      </c>
      <c r="G71" s="17" t="s">
        <v>232</v>
      </c>
    </row>
    <row r="72" customFormat="false" ht="15" hidden="false" customHeight="true" outlineLevel="0" collapsed="false">
      <c r="A72" s="18" t="s">
        <v>218</v>
      </c>
      <c r="B72" s="5" t="s">
        <v>233</v>
      </c>
      <c r="C72" s="17" t="s">
        <v>73</v>
      </c>
      <c r="D72" s="17" t="s">
        <v>90</v>
      </c>
      <c r="E72" s="17" t="s">
        <v>234</v>
      </c>
      <c r="F72" s="17" t="s">
        <v>235</v>
      </c>
      <c r="G72" s="17" t="s">
        <v>236</v>
      </c>
    </row>
    <row r="73" customFormat="false" ht="15" hidden="false" customHeight="true" outlineLevel="0" collapsed="false">
      <c r="A73" s="18" t="s">
        <v>218</v>
      </c>
      <c r="B73" s="5" t="s">
        <v>237</v>
      </c>
      <c r="C73" s="17" t="s">
        <v>73</v>
      </c>
      <c r="D73" s="17" t="s">
        <v>119</v>
      </c>
      <c r="E73" s="17" t="s">
        <v>238</v>
      </c>
      <c r="F73" s="17" t="s">
        <v>239</v>
      </c>
      <c r="G73" s="17" t="s">
        <v>240</v>
      </c>
    </row>
    <row r="74" customFormat="false" ht="15" hidden="false" customHeight="true" outlineLevel="0" collapsed="false">
      <c r="A74" s="18" t="s">
        <v>218</v>
      </c>
      <c r="B74" s="5" t="s">
        <v>241</v>
      </c>
      <c r="C74" s="17" t="s">
        <v>73</v>
      </c>
      <c r="D74" s="17" t="s">
        <v>74</v>
      </c>
      <c r="E74" s="17" t="s">
        <v>175</v>
      </c>
      <c r="F74" s="17" t="s">
        <v>242</v>
      </c>
      <c r="G74" s="17" t="s">
        <v>243</v>
      </c>
    </row>
    <row r="75" customFormat="false" ht="15" hidden="false" customHeight="true" outlineLevel="0" collapsed="false">
      <c r="A75" s="18" t="s">
        <v>218</v>
      </c>
      <c r="B75" s="5" t="s">
        <v>244</v>
      </c>
      <c r="C75" s="17" t="s">
        <v>73</v>
      </c>
      <c r="D75" s="17" t="s">
        <v>156</v>
      </c>
      <c r="E75" s="17" t="s">
        <v>157</v>
      </c>
      <c r="F75" s="17" t="s">
        <v>245</v>
      </c>
      <c r="G75" s="17" t="s">
        <v>246</v>
      </c>
    </row>
    <row r="76" customFormat="false" ht="15" hidden="false" customHeight="true" outlineLevel="0" collapsed="false">
      <c r="A76" s="18" t="s">
        <v>218</v>
      </c>
      <c r="B76" s="5" t="s">
        <v>247</v>
      </c>
      <c r="C76" s="17" t="s">
        <v>73</v>
      </c>
      <c r="D76" s="17" t="s">
        <v>156</v>
      </c>
      <c r="E76" s="17" t="s">
        <v>157</v>
      </c>
      <c r="F76" s="17" t="s">
        <v>248</v>
      </c>
      <c r="G76" s="17" t="s">
        <v>248</v>
      </c>
    </row>
    <row r="77" customFormat="false" ht="23.25" hidden="false" customHeight="true" outlineLevel="0" collapsed="false">
      <c r="A77" s="18" t="s">
        <v>218</v>
      </c>
      <c r="B77" s="5" t="s">
        <v>249</v>
      </c>
      <c r="C77" s="17" t="s">
        <v>73</v>
      </c>
      <c r="D77" s="17" t="s">
        <v>94</v>
      </c>
      <c r="E77" s="17" t="s">
        <v>95</v>
      </c>
      <c r="F77" s="17" t="s">
        <v>250</v>
      </c>
      <c r="G77" s="17" t="s">
        <v>251</v>
      </c>
    </row>
    <row r="79" customFormat="false" ht="15" hidden="false" customHeight="true" outlineLevel="0" collapsed="false">
      <c r="A79" s="4" t="s">
        <v>252</v>
      </c>
    </row>
    <row r="80" customFormat="false" ht="15.75" hidden="false" customHeight="true" outlineLevel="0" collapsed="false">
      <c r="A80" s="5" t="s">
        <v>253</v>
      </c>
      <c r="B80" s="5"/>
      <c r="C80" s="17" t="s">
        <v>254</v>
      </c>
      <c r="D80" s="17"/>
      <c r="E80" s="17"/>
      <c r="F80" s="17"/>
      <c r="G80" s="17"/>
    </row>
    <row r="81" customFormat="false" ht="15.75" hidden="false" customHeight="true" outlineLevel="0" collapsed="false">
      <c r="A81" s="5" t="s">
        <v>255</v>
      </c>
      <c r="B81" s="5"/>
      <c r="C81" s="17" t="s">
        <v>256</v>
      </c>
      <c r="D81" s="17"/>
      <c r="E81" s="17"/>
      <c r="F81" s="17"/>
      <c r="G81" s="17"/>
    </row>
    <row r="82" customFormat="false" ht="15.75" hidden="false" customHeight="true" outlineLevel="0" collapsed="false">
      <c r="A82" s="5" t="s">
        <v>257</v>
      </c>
      <c r="B82" s="5"/>
      <c r="C82" s="17" t="s">
        <v>258</v>
      </c>
      <c r="D82" s="17"/>
      <c r="E82" s="17"/>
      <c r="F82" s="17"/>
      <c r="G82" s="17"/>
    </row>
    <row r="84" customFormat="false" ht="15" hidden="false" customHeight="false" outlineLevel="0" collapsed="false">
      <c r="A84" s="4" t="s">
        <v>259</v>
      </c>
    </row>
    <row r="85" customFormat="false" ht="15" hidden="false" customHeight="false" outlineLevel="0" collapsed="false">
      <c r="A85" s="7" t="s">
        <v>65</v>
      </c>
      <c r="B85" s="7" t="s">
        <v>66</v>
      </c>
      <c r="C85" s="7" t="s">
        <v>67</v>
      </c>
      <c r="D85" s="7" t="s">
        <v>68</v>
      </c>
      <c r="E85" s="7" t="s">
        <v>69</v>
      </c>
      <c r="F85" s="7" t="s">
        <v>70</v>
      </c>
      <c r="G85" s="7" t="s">
        <v>71</v>
      </c>
    </row>
    <row r="86" customFormat="false" ht="29.25" hidden="false" customHeight="true" outlineLevel="0" collapsed="false">
      <c r="A86" s="18" t="s">
        <v>260</v>
      </c>
      <c r="B86" s="5" t="s">
        <v>72</v>
      </c>
      <c r="C86" s="17" t="s">
        <v>73</v>
      </c>
      <c r="D86" s="17" t="s">
        <v>74</v>
      </c>
      <c r="E86" s="17" t="s">
        <v>75</v>
      </c>
      <c r="F86" s="17" t="s">
        <v>261</v>
      </c>
      <c r="G86" s="17" t="s">
        <v>262</v>
      </c>
    </row>
    <row r="87" customFormat="false" ht="29.25" hidden="false" customHeight="true" outlineLevel="0" collapsed="false">
      <c r="A87" s="18" t="s">
        <v>260</v>
      </c>
      <c r="B87" s="5" t="s">
        <v>78</v>
      </c>
      <c r="C87" s="17" t="s">
        <v>73</v>
      </c>
      <c r="D87" s="17" t="s">
        <v>74</v>
      </c>
      <c r="E87" s="17" t="s">
        <v>75</v>
      </c>
      <c r="F87" s="17" t="s">
        <v>263</v>
      </c>
      <c r="G87" s="17" t="s">
        <v>264</v>
      </c>
    </row>
    <row r="88" customFormat="false" ht="16.5" hidden="false" customHeight="true" outlineLevel="0" collapsed="false">
      <c r="A88" s="18" t="s">
        <v>260</v>
      </c>
      <c r="B88" s="5" t="s">
        <v>89</v>
      </c>
      <c r="C88" s="17" t="s">
        <v>73</v>
      </c>
      <c r="D88" s="17" t="s">
        <v>90</v>
      </c>
      <c r="E88" s="17" t="s">
        <v>91</v>
      </c>
      <c r="F88" s="17" t="s">
        <v>265</v>
      </c>
      <c r="G88" s="17" t="s">
        <v>266</v>
      </c>
    </row>
    <row r="89" customFormat="false" ht="42" hidden="false" customHeight="true" outlineLevel="0" collapsed="false">
      <c r="A89" s="18" t="s">
        <v>260</v>
      </c>
      <c r="B89" s="5" t="s">
        <v>81</v>
      </c>
      <c r="C89" s="17" t="s">
        <v>73</v>
      </c>
      <c r="D89" s="17" t="s">
        <v>81</v>
      </c>
      <c r="E89" s="17" t="s">
        <v>267</v>
      </c>
      <c r="F89" s="17" t="s">
        <v>268</v>
      </c>
      <c r="G89" s="17" t="s">
        <v>269</v>
      </c>
    </row>
    <row r="90" customFormat="false" ht="16.5" hidden="false" customHeight="true" outlineLevel="0" collapsed="false">
      <c r="A90" s="18" t="s">
        <v>260</v>
      </c>
      <c r="B90" s="5" t="s">
        <v>85</v>
      </c>
      <c r="C90" s="17" t="s">
        <v>73</v>
      </c>
      <c r="D90" s="17" t="s">
        <v>74</v>
      </c>
      <c r="E90" s="17" t="s">
        <v>86</v>
      </c>
      <c r="F90" s="17" t="s">
        <v>270</v>
      </c>
      <c r="G90" s="17" t="s">
        <v>271</v>
      </c>
    </row>
    <row r="91" customFormat="false" ht="16.5" hidden="false" customHeight="true" outlineLevel="0" collapsed="false">
      <c r="A91" s="18" t="s">
        <v>260</v>
      </c>
      <c r="B91" s="5" t="s">
        <v>229</v>
      </c>
      <c r="C91" s="17" t="s">
        <v>73</v>
      </c>
      <c r="D91" s="17" t="s">
        <v>74</v>
      </c>
      <c r="E91" s="17" t="s">
        <v>272</v>
      </c>
      <c r="F91" s="17" t="s">
        <v>273</v>
      </c>
      <c r="G91" s="17" t="s">
        <v>274</v>
      </c>
    </row>
    <row r="92" customFormat="false" ht="29.25" hidden="false" customHeight="true" outlineLevel="0" collapsed="false">
      <c r="A92" s="18" t="s">
        <v>260</v>
      </c>
      <c r="B92" s="5" t="s">
        <v>275</v>
      </c>
      <c r="C92" s="17" t="s">
        <v>73</v>
      </c>
      <c r="D92" s="17" t="s">
        <v>119</v>
      </c>
      <c r="E92" s="17" t="s">
        <v>276</v>
      </c>
      <c r="F92" s="17" t="s">
        <v>277</v>
      </c>
      <c r="G92" s="17" t="s">
        <v>277</v>
      </c>
    </row>
    <row r="93" customFormat="false" ht="29.25" hidden="false" customHeight="true" outlineLevel="0" collapsed="false">
      <c r="A93" s="18" t="s">
        <v>260</v>
      </c>
      <c r="B93" s="5" t="s">
        <v>278</v>
      </c>
      <c r="C93" s="17" t="s">
        <v>73</v>
      </c>
      <c r="D93" s="17" t="s">
        <v>209</v>
      </c>
      <c r="E93" s="17" t="s">
        <v>279</v>
      </c>
      <c r="F93" s="17" t="s">
        <v>280</v>
      </c>
      <c r="G93" s="17" t="s">
        <v>281</v>
      </c>
    </row>
    <row r="94" customFormat="false" ht="16.5" hidden="false" customHeight="true" outlineLevel="0" collapsed="false">
      <c r="A94" s="18" t="s">
        <v>260</v>
      </c>
      <c r="B94" s="5" t="s">
        <v>233</v>
      </c>
      <c r="C94" s="17" t="s">
        <v>73</v>
      </c>
      <c r="D94" s="17" t="s">
        <v>90</v>
      </c>
      <c r="E94" s="17" t="s">
        <v>234</v>
      </c>
      <c r="F94" s="17" t="s">
        <v>282</v>
      </c>
      <c r="G94" s="17" t="s">
        <v>283</v>
      </c>
    </row>
    <row r="95" customFormat="false" ht="29.25" hidden="false" customHeight="true" outlineLevel="0" collapsed="false">
      <c r="A95" s="18" t="s">
        <v>260</v>
      </c>
      <c r="B95" s="5" t="s">
        <v>237</v>
      </c>
      <c r="C95" s="17" t="s">
        <v>73</v>
      </c>
      <c r="D95" s="17" t="s">
        <v>119</v>
      </c>
      <c r="E95" s="17" t="s">
        <v>284</v>
      </c>
      <c r="F95" s="17" t="s">
        <v>285</v>
      </c>
      <c r="G95" s="17" t="s">
        <v>240</v>
      </c>
    </row>
    <row r="96" customFormat="false" ht="16.5" hidden="false" customHeight="true" outlineLevel="0" collapsed="false">
      <c r="A96" s="18" t="s">
        <v>260</v>
      </c>
      <c r="B96" s="5" t="s">
        <v>241</v>
      </c>
      <c r="C96" s="17" t="s">
        <v>73</v>
      </c>
      <c r="D96" s="17" t="s">
        <v>74</v>
      </c>
      <c r="E96" s="17" t="s">
        <v>286</v>
      </c>
      <c r="F96" s="17" t="s">
        <v>287</v>
      </c>
      <c r="G96" s="17" t="s">
        <v>288</v>
      </c>
    </row>
    <row r="97" customFormat="false" ht="29.25" hidden="false" customHeight="true" outlineLevel="0" collapsed="false">
      <c r="A97" s="18" t="s">
        <v>260</v>
      </c>
      <c r="B97" s="5" t="s">
        <v>289</v>
      </c>
      <c r="C97" s="17" t="s">
        <v>73</v>
      </c>
      <c r="D97" s="17" t="s">
        <v>290</v>
      </c>
      <c r="E97" s="17" t="s">
        <v>291</v>
      </c>
      <c r="F97" s="17" t="s">
        <v>292</v>
      </c>
      <c r="G97" s="17" t="s">
        <v>293</v>
      </c>
    </row>
    <row r="98" customFormat="false" ht="42" hidden="false" customHeight="true" outlineLevel="0" collapsed="false">
      <c r="A98" s="18" t="s">
        <v>260</v>
      </c>
      <c r="B98" s="5" t="s">
        <v>294</v>
      </c>
      <c r="C98" s="17" t="s">
        <v>73</v>
      </c>
      <c r="D98" s="17" t="s">
        <v>119</v>
      </c>
      <c r="E98" s="17" t="s">
        <v>295</v>
      </c>
      <c r="F98" s="17" t="s">
        <v>296</v>
      </c>
      <c r="G98" s="17" t="s">
        <v>297</v>
      </c>
    </row>
    <row r="99" customFormat="false" ht="29.25" hidden="false" customHeight="true" outlineLevel="0" collapsed="false">
      <c r="A99" s="18" t="s">
        <v>260</v>
      </c>
      <c r="B99" s="5" t="s">
        <v>298</v>
      </c>
      <c r="C99" s="17" t="s">
        <v>73</v>
      </c>
      <c r="D99" s="17" t="s">
        <v>156</v>
      </c>
      <c r="E99" s="17" t="s">
        <v>157</v>
      </c>
      <c r="F99" s="17" t="s">
        <v>299</v>
      </c>
      <c r="G99" s="17" t="s">
        <v>300</v>
      </c>
    </row>
    <row r="100" customFormat="false" ht="29.25" hidden="false" customHeight="true" outlineLevel="0" collapsed="false">
      <c r="A100" s="18" t="s">
        <v>260</v>
      </c>
      <c r="B100" s="5" t="s">
        <v>247</v>
      </c>
      <c r="C100" s="17" t="s">
        <v>73</v>
      </c>
      <c r="D100" s="17" t="s">
        <v>156</v>
      </c>
      <c r="E100" s="17" t="s">
        <v>157</v>
      </c>
      <c r="F100" s="17" t="s">
        <v>301</v>
      </c>
      <c r="G100" s="17" t="s">
        <v>248</v>
      </c>
    </row>
    <row r="101" customFormat="false" ht="29.25" hidden="false" customHeight="true" outlineLevel="0" collapsed="false">
      <c r="A101" s="18" t="s">
        <v>260</v>
      </c>
      <c r="B101" s="5" t="s">
        <v>302</v>
      </c>
      <c r="C101" s="17" t="s">
        <v>73</v>
      </c>
      <c r="D101" s="17" t="s">
        <v>156</v>
      </c>
      <c r="E101" s="17" t="s">
        <v>157</v>
      </c>
      <c r="F101" s="17" t="s">
        <v>303</v>
      </c>
      <c r="G101" s="17" t="s">
        <v>303</v>
      </c>
    </row>
    <row r="102" customFormat="false" ht="29.25" hidden="false" customHeight="true" outlineLevel="0" collapsed="false">
      <c r="A102" s="18" t="s">
        <v>260</v>
      </c>
      <c r="B102" s="5" t="s">
        <v>304</v>
      </c>
      <c r="C102" s="17" t="s">
        <v>73</v>
      </c>
      <c r="D102" s="17" t="s">
        <v>94</v>
      </c>
      <c r="E102" s="17" t="s">
        <v>95</v>
      </c>
      <c r="F102" s="17" t="s">
        <v>305</v>
      </c>
      <c r="G102" s="17" t="s">
        <v>306</v>
      </c>
    </row>
    <row r="104" customFormat="false" ht="15" hidden="false" customHeight="false" outlineLevel="0" collapsed="false">
      <c r="A104" s="4" t="s">
        <v>307</v>
      </c>
    </row>
    <row r="105" customFormat="false" ht="30" hidden="false" customHeight="true" outlineLevel="0" collapsed="false">
      <c r="A105" s="5" t="s">
        <v>308</v>
      </c>
      <c r="B105" s="19" t="s">
        <v>309</v>
      </c>
      <c r="C105" s="19"/>
      <c r="D105" s="19"/>
      <c r="E105" s="19"/>
      <c r="F105" s="19"/>
      <c r="G105" s="19"/>
    </row>
    <row r="106" customFormat="false" ht="30" hidden="false" customHeight="true" outlineLevel="0" collapsed="false">
      <c r="A106" s="5" t="s">
        <v>310</v>
      </c>
      <c r="B106" s="19" t="s">
        <v>311</v>
      </c>
      <c r="C106" s="19"/>
      <c r="D106" s="19"/>
      <c r="E106" s="19"/>
      <c r="F106" s="19"/>
      <c r="G106" s="19"/>
    </row>
  </sheetData>
  <mergeCells count="9">
    <mergeCell ref="A2:G2"/>
    <mergeCell ref="A80:B80"/>
    <mergeCell ref="C80:G80"/>
    <mergeCell ref="A81:B81"/>
    <mergeCell ref="C81:G81"/>
    <mergeCell ref="A82:B82"/>
    <mergeCell ref="C82:G82"/>
    <mergeCell ref="B105:G105"/>
    <mergeCell ref="B106:G10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75" defaultRowHeight="15"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26"/>
    <col collapsed="false" customWidth="true" hidden="false" outlineLevel="0" max="4" min="4" style="1" width="58"/>
    <col collapsed="false" customWidth="true" hidden="false" outlineLevel="0" max="5" min="5" style="1" width="16"/>
  </cols>
  <sheetData>
    <row r="1" customFormat="false" ht="17.25" hidden="false" customHeight="true" outlineLevel="0" collapsed="false">
      <c r="A1" s="2" t="s">
        <v>312</v>
      </c>
    </row>
    <row r="2" customFormat="false" ht="30" hidden="false" customHeight="true" outlineLevel="0" collapsed="false">
      <c r="A2" s="14" t="s">
        <v>313</v>
      </c>
      <c r="B2" s="14"/>
      <c r="C2" s="14"/>
      <c r="D2" s="14"/>
      <c r="E2" s="14"/>
    </row>
    <row r="4" customFormat="false" ht="15" hidden="false" customHeight="true" outlineLevel="0" collapsed="false">
      <c r="A4" s="7" t="s">
        <v>314</v>
      </c>
      <c r="B4" s="7" t="s">
        <v>315</v>
      </c>
      <c r="C4" s="7" t="s">
        <v>316</v>
      </c>
      <c r="D4" s="7" t="s">
        <v>317</v>
      </c>
      <c r="E4" s="7" t="s">
        <v>318</v>
      </c>
    </row>
    <row r="5" customFormat="false" ht="15" hidden="false" customHeight="true" outlineLevel="0" collapsed="false">
      <c r="A5" s="20" t="s">
        <v>319</v>
      </c>
      <c r="B5" s="21" t="s">
        <v>320</v>
      </c>
      <c r="C5" s="17" t="s">
        <v>321</v>
      </c>
      <c r="D5" s="17" t="s">
        <v>322</v>
      </c>
      <c r="E5" s="21" t="s">
        <v>323</v>
      </c>
    </row>
    <row r="6" customFormat="false" ht="15" hidden="false" customHeight="true" outlineLevel="0" collapsed="false">
      <c r="A6" s="20" t="s">
        <v>324</v>
      </c>
      <c r="B6" s="21" t="s">
        <v>325</v>
      </c>
      <c r="C6" s="17" t="s">
        <v>326</v>
      </c>
      <c r="D6" s="17" t="s">
        <v>327</v>
      </c>
      <c r="E6" s="21" t="s">
        <v>323</v>
      </c>
    </row>
    <row r="7" customFormat="false" ht="15" hidden="false" customHeight="true" outlineLevel="0" collapsed="false">
      <c r="A7" s="20" t="s">
        <v>328</v>
      </c>
      <c r="B7" s="21" t="s">
        <v>329</v>
      </c>
      <c r="C7" s="17" t="s">
        <v>330</v>
      </c>
      <c r="D7" s="17" t="s">
        <v>331</v>
      </c>
      <c r="E7" s="21" t="s">
        <v>323</v>
      </c>
    </row>
    <row r="8" customFormat="false" ht="15" hidden="false" customHeight="true" outlineLevel="0" collapsed="false">
      <c r="A8" s="20" t="s">
        <v>332</v>
      </c>
      <c r="B8" s="21" t="s">
        <v>329</v>
      </c>
      <c r="C8" s="17" t="s">
        <v>333</v>
      </c>
      <c r="D8" s="17" t="s">
        <v>334</v>
      </c>
      <c r="E8" s="21" t="s">
        <v>323</v>
      </c>
    </row>
    <row r="9" customFormat="false" ht="15" hidden="false" customHeight="true" outlineLevel="0" collapsed="false">
      <c r="A9" s="20" t="s">
        <v>335</v>
      </c>
      <c r="B9" s="21" t="s">
        <v>329</v>
      </c>
      <c r="C9" s="17" t="s">
        <v>333</v>
      </c>
      <c r="D9" s="17" t="s">
        <v>336</v>
      </c>
      <c r="E9" s="21" t="s">
        <v>323</v>
      </c>
    </row>
    <row r="10" customFormat="false" ht="15" hidden="false" customHeight="true" outlineLevel="0" collapsed="false">
      <c r="A10" s="20" t="s">
        <v>337</v>
      </c>
      <c r="B10" s="21" t="s">
        <v>329</v>
      </c>
      <c r="C10" s="17" t="s">
        <v>338</v>
      </c>
      <c r="D10" s="17" t="s">
        <v>339</v>
      </c>
      <c r="E10" s="21" t="s">
        <v>323</v>
      </c>
    </row>
    <row r="11" customFormat="false" ht="15" hidden="false" customHeight="true" outlineLevel="0" collapsed="false">
      <c r="A11" s="20" t="s">
        <v>340</v>
      </c>
      <c r="B11" s="21" t="s">
        <v>329</v>
      </c>
      <c r="C11" s="17" t="s">
        <v>341</v>
      </c>
      <c r="D11" s="17" t="s">
        <v>342</v>
      </c>
      <c r="E11" s="21" t="s">
        <v>323</v>
      </c>
    </row>
    <row r="12" customFormat="false" ht="15" hidden="false" customHeight="true" outlineLevel="0" collapsed="false">
      <c r="A12" s="20" t="s">
        <v>343</v>
      </c>
      <c r="B12" s="21" t="s">
        <v>329</v>
      </c>
      <c r="C12" s="17" t="s">
        <v>321</v>
      </c>
      <c r="D12" s="17" t="s">
        <v>344</v>
      </c>
      <c r="E12" s="21" t="s">
        <v>323</v>
      </c>
    </row>
    <row r="13" customFormat="false" ht="15" hidden="false" customHeight="true" outlineLevel="0" collapsed="false">
      <c r="A13" s="20" t="s">
        <v>345</v>
      </c>
      <c r="B13" s="21" t="s">
        <v>320</v>
      </c>
      <c r="C13" s="17" t="s">
        <v>346</v>
      </c>
      <c r="D13" s="17" t="s">
        <v>347</v>
      </c>
      <c r="E13" s="21" t="s">
        <v>323</v>
      </c>
    </row>
    <row r="14" customFormat="false" ht="15" hidden="false" customHeight="true" outlineLevel="0" collapsed="false">
      <c r="A14" s="20" t="s">
        <v>348</v>
      </c>
      <c r="B14" s="21" t="s">
        <v>325</v>
      </c>
      <c r="C14" s="17" t="s">
        <v>349</v>
      </c>
      <c r="D14" s="17" t="s">
        <v>350</v>
      </c>
      <c r="E14" s="21" t="s">
        <v>323</v>
      </c>
    </row>
    <row r="15" customFormat="false" ht="15" hidden="false" customHeight="true" outlineLevel="0" collapsed="false">
      <c r="A15" s="20" t="s">
        <v>351</v>
      </c>
      <c r="B15" s="21" t="s">
        <v>329</v>
      </c>
      <c r="C15" s="17" t="s">
        <v>352</v>
      </c>
      <c r="D15" s="17" t="s">
        <v>353</v>
      </c>
      <c r="E15" s="21" t="s">
        <v>323</v>
      </c>
    </row>
    <row r="16" customFormat="false" ht="15" hidden="false" customHeight="true" outlineLevel="0" collapsed="false">
      <c r="A16" s="20" t="s">
        <v>354</v>
      </c>
      <c r="B16" s="21" t="s">
        <v>329</v>
      </c>
      <c r="C16" s="17" t="s">
        <v>355</v>
      </c>
      <c r="D16" s="17" t="s">
        <v>356</v>
      </c>
      <c r="E16" s="21" t="s">
        <v>323</v>
      </c>
    </row>
    <row r="17" customFormat="false" ht="15" hidden="false" customHeight="true" outlineLevel="0" collapsed="false">
      <c r="A17" s="20" t="s">
        <v>357</v>
      </c>
      <c r="B17" s="21" t="s">
        <v>320</v>
      </c>
      <c r="C17" s="17" t="s">
        <v>358</v>
      </c>
      <c r="D17" s="17" t="s">
        <v>359</v>
      </c>
      <c r="E17" s="21" t="s">
        <v>323</v>
      </c>
    </row>
    <row r="18" customFormat="false" ht="15" hidden="false" customHeight="true" outlineLevel="0" collapsed="false">
      <c r="A18" s="20" t="s">
        <v>360</v>
      </c>
      <c r="B18" s="21" t="s">
        <v>320</v>
      </c>
      <c r="C18" s="17" t="s">
        <v>361</v>
      </c>
      <c r="D18" s="17" t="s">
        <v>362</v>
      </c>
      <c r="E18" s="21" t="s">
        <v>323</v>
      </c>
    </row>
    <row r="19" customFormat="false" ht="15" hidden="false" customHeight="true" outlineLevel="0" collapsed="false">
      <c r="A19" s="20" t="s">
        <v>363</v>
      </c>
      <c r="B19" s="21" t="s">
        <v>320</v>
      </c>
      <c r="C19" s="17" t="s">
        <v>364</v>
      </c>
      <c r="D19" s="17" t="s">
        <v>365</v>
      </c>
      <c r="E19" s="21" t="s">
        <v>366</v>
      </c>
    </row>
    <row r="20" customFormat="false" ht="15" hidden="false" customHeight="true" outlineLevel="0" collapsed="false">
      <c r="A20" s="20" t="s">
        <v>367</v>
      </c>
      <c r="B20" s="21" t="s">
        <v>368</v>
      </c>
      <c r="C20" s="17" t="s">
        <v>369</v>
      </c>
      <c r="D20" s="17" t="s">
        <v>370</v>
      </c>
      <c r="E20" s="21" t="s">
        <v>366</v>
      </c>
    </row>
    <row r="21" customFormat="false" ht="15" hidden="false" customHeight="true" outlineLevel="0" collapsed="false">
      <c r="A21" s="20" t="s">
        <v>371</v>
      </c>
      <c r="B21" s="21" t="s">
        <v>372</v>
      </c>
      <c r="C21" s="17" t="s">
        <v>373</v>
      </c>
      <c r="D21" s="17" t="s">
        <v>374</v>
      </c>
      <c r="E21" s="21" t="s">
        <v>366</v>
      </c>
    </row>
    <row r="22" customFormat="false" ht="15" hidden="false" customHeight="true" outlineLevel="0" collapsed="false">
      <c r="A22" s="20" t="s">
        <v>375</v>
      </c>
      <c r="B22" s="21" t="s">
        <v>376</v>
      </c>
      <c r="C22" s="17" t="s">
        <v>377</v>
      </c>
      <c r="D22" s="17" t="s">
        <v>378</v>
      </c>
      <c r="E22" s="21" t="s">
        <v>366</v>
      </c>
    </row>
    <row r="23" customFormat="false" ht="15" hidden="false" customHeight="true" outlineLevel="0" collapsed="false">
      <c r="A23" s="20" t="s">
        <v>379</v>
      </c>
      <c r="B23" s="21" t="s">
        <v>320</v>
      </c>
      <c r="C23" s="17" t="s">
        <v>380</v>
      </c>
      <c r="D23" s="17" t="s">
        <v>381</v>
      </c>
      <c r="E23" s="21" t="s">
        <v>323</v>
      </c>
    </row>
    <row r="24" customFormat="false" ht="15" hidden="false" customHeight="true" outlineLevel="0" collapsed="false">
      <c r="A24" s="20" t="s">
        <v>382</v>
      </c>
      <c r="B24" s="21" t="s">
        <v>325</v>
      </c>
      <c r="C24" s="17" t="s">
        <v>377</v>
      </c>
      <c r="D24" s="17" t="s">
        <v>383</v>
      </c>
      <c r="E24" s="21" t="s">
        <v>323</v>
      </c>
    </row>
    <row r="25" customFormat="false" ht="15" hidden="false" customHeight="true" outlineLevel="0" collapsed="false">
      <c r="A25" s="20" t="s">
        <v>384</v>
      </c>
      <c r="B25" s="21" t="s">
        <v>329</v>
      </c>
      <c r="C25" s="17" t="s">
        <v>385</v>
      </c>
      <c r="D25" s="17" t="s">
        <v>386</v>
      </c>
      <c r="E25" s="21" t="s">
        <v>323</v>
      </c>
    </row>
    <row r="26" customFormat="false" ht="15" hidden="false" customHeight="true" outlineLevel="0" collapsed="false">
      <c r="A26" s="20" t="s">
        <v>387</v>
      </c>
      <c r="B26" s="21" t="s">
        <v>329</v>
      </c>
      <c r="C26" s="17" t="s">
        <v>388</v>
      </c>
      <c r="D26" s="17" t="s">
        <v>389</v>
      </c>
      <c r="E26" s="21" t="s">
        <v>323</v>
      </c>
    </row>
    <row r="27" customFormat="false" ht="15" hidden="false" customHeight="true" outlineLevel="0" collapsed="false">
      <c r="A27" s="20" t="s">
        <v>390</v>
      </c>
      <c r="B27" s="21" t="s">
        <v>320</v>
      </c>
      <c r="C27" s="17" t="s">
        <v>341</v>
      </c>
      <c r="D27" s="17" t="s">
        <v>391</v>
      </c>
      <c r="E27" s="21" t="s">
        <v>323</v>
      </c>
    </row>
    <row r="28" customFormat="false" ht="15" hidden="false" customHeight="true" outlineLevel="0" collapsed="false">
      <c r="A28" s="20" t="s">
        <v>392</v>
      </c>
      <c r="B28" s="21" t="s">
        <v>393</v>
      </c>
      <c r="C28" s="17" t="s">
        <v>394</v>
      </c>
      <c r="D28" s="17" t="s">
        <v>395</v>
      </c>
      <c r="E28" s="21" t="s">
        <v>396</v>
      </c>
    </row>
    <row r="29" customFormat="false" ht="15" hidden="false" customHeight="true" outlineLevel="0" collapsed="false">
      <c r="A29" s="20" t="s">
        <v>397</v>
      </c>
      <c r="B29" s="21" t="s">
        <v>325</v>
      </c>
      <c r="C29" s="17" t="s">
        <v>398</v>
      </c>
      <c r="D29" s="17" t="s">
        <v>399</v>
      </c>
      <c r="E29" s="21" t="s">
        <v>323</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75" defaultRowHeight="15"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95"/>
    <col collapsed="false" customWidth="true" hidden="false" outlineLevel="0" max="4" min="4" style="1" width="38"/>
  </cols>
  <sheetData>
    <row r="1" customFormat="false" ht="17.25" hidden="false" customHeight="true" outlineLevel="0" collapsed="false">
      <c r="A1" s="2" t="s">
        <v>400</v>
      </c>
    </row>
    <row r="2" customFormat="false" ht="30" hidden="false" customHeight="true" outlineLevel="0" collapsed="false">
      <c r="A2" s="14" t="s">
        <v>401</v>
      </c>
      <c r="B2" s="14"/>
      <c r="C2" s="14"/>
      <c r="D2" s="14"/>
    </row>
    <row r="4" customFormat="false" ht="15" hidden="false" customHeight="true" outlineLevel="0" collapsed="false">
      <c r="A4" s="7" t="s">
        <v>402</v>
      </c>
      <c r="B4" s="7" t="s">
        <v>403</v>
      </c>
      <c r="C4" s="7" t="s">
        <v>404</v>
      </c>
      <c r="D4" s="7" t="s">
        <v>405</v>
      </c>
    </row>
    <row r="5" customFormat="false" ht="23.25" hidden="false" customHeight="true" outlineLevel="0" collapsed="false">
      <c r="A5" s="22" t="s">
        <v>406</v>
      </c>
      <c r="B5" s="20" t="s">
        <v>407</v>
      </c>
      <c r="C5" s="17" t="s">
        <v>408</v>
      </c>
      <c r="D5" s="23"/>
    </row>
    <row r="6" customFormat="false" ht="15" hidden="false" customHeight="true" outlineLevel="0" collapsed="false">
      <c r="A6" s="22" t="s">
        <v>409</v>
      </c>
      <c r="B6" s="20" t="s">
        <v>410</v>
      </c>
      <c r="C6" s="17" t="s">
        <v>411</v>
      </c>
      <c r="D6" s="23"/>
    </row>
    <row r="7" customFormat="false" ht="23.25" hidden="false" customHeight="true" outlineLevel="0" collapsed="false">
      <c r="A7" s="22" t="s">
        <v>412</v>
      </c>
      <c r="B7" s="20" t="s">
        <v>413</v>
      </c>
      <c r="C7" s="17" t="s">
        <v>414</v>
      </c>
      <c r="D7" s="23"/>
    </row>
    <row r="8" customFormat="false" ht="23.25" hidden="false" customHeight="true" outlineLevel="0" collapsed="false">
      <c r="A8" s="22" t="s">
        <v>415</v>
      </c>
      <c r="B8" s="20" t="s">
        <v>416</v>
      </c>
      <c r="C8" s="17" t="s">
        <v>417</v>
      </c>
      <c r="D8" s="23"/>
    </row>
    <row r="9" customFormat="false" ht="23.25" hidden="false" customHeight="true" outlineLevel="0" collapsed="false">
      <c r="A9" s="22" t="s">
        <v>418</v>
      </c>
      <c r="B9" s="20" t="s">
        <v>419</v>
      </c>
      <c r="C9" s="17" t="s">
        <v>420</v>
      </c>
      <c r="D9" s="23"/>
    </row>
    <row r="10" customFormat="false" ht="15" hidden="false" customHeight="true" outlineLevel="0" collapsed="false">
      <c r="A10" s="22" t="s">
        <v>421</v>
      </c>
      <c r="B10" s="20" t="s">
        <v>422</v>
      </c>
      <c r="C10" s="17" t="s">
        <v>423</v>
      </c>
      <c r="D10" s="23"/>
    </row>
    <row r="11" customFormat="false" ht="23.25" hidden="false" customHeight="true" outlineLevel="0" collapsed="false">
      <c r="A11" s="22" t="s">
        <v>424</v>
      </c>
      <c r="B11" s="20" t="s">
        <v>425</v>
      </c>
      <c r="C11" s="17" t="s">
        <v>426</v>
      </c>
      <c r="D11" s="23"/>
    </row>
    <row r="12" customFormat="false" ht="15" hidden="false" customHeight="true" outlineLevel="0" collapsed="false">
      <c r="A12" s="22" t="s">
        <v>427</v>
      </c>
      <c r="B12" s="20" t="s">
        <v>428</v>
      </c>
      <c r="C12" s="17" t="s">
        <v>429</v>
      </c>
      <c r="D12" s="23"/>
    </row>
    <row r="13" customFormat="false" ht="23.25" hidden="false" customHeight="true" outlineLevel="0" collapsed="false">
      <c r="A13" s="22" t="s">
        <v>430</v>
      </c>
      <c r="B13" s="20" t="s">
        <v>431</v>
      </c>
      <c r="C13" s="17" t="s">
        <v>432</v>
      </c>
      <c r="D13" s="23"/>
    </row>
    <row r="14" customFormat="false" ht="15" hidden="false" customHeight="true" outlineLevel="0" collapsed="false">
      <c r="A14" s="22" t="s">
        <v>433</v>
      </c>
      <c r="B14" s="20" t="s">
        <v>434</v>
      </c>
      <c r="C14" s="17" t="s">
        <v>435</v>
      </c>
      <c r="D14" s="23"/>
    </row>
    <row r="15" customFormat="false" ht="23.25" hidden="false" customHeight="true" outlineLevel="0" collapsed="false">
      <c r="A15" s="22" t="s">
        <v>436</v>
      </c>
      <c r="B15" s="20" t="s">
        <v>437</v>
      </c>
      <c r="C15" s="17" t="s">
        <v>438</v>
      </c>
      <c r="D15" s="23"/>
    </row>
    <row r="16" customFormat="false" ht="23.25" hidden="false" customHeight="true" outlineLevel="0" collapsed="false">
      <c r="A16" s="22" t="s">
        <v>439</v>
      </c>
      <c r="B16" s="20" t="s">
        <v>440</v>
      </c>
      <c r="C16" s="17" t="s">
        <v>441</v>
      </c>
      <c r="D16" s="23"/>
    </row>
    <row r="17" customFormat="false" ht="34.5" hidden="false" customHeight="true" outlineLevel="0" collapsed="false">
      <c r="A17" s="22" t="s">
        <v>442</v>
      </c>
      <c r="B17" s="20" t="s">
        <v>443</v>
      </c>
      <c r="C17" s="17" t="s">
        <v>444</v>
      </c>
      <c r="D17" s="23"/>
    </row>
    <row r="18" customFormat="false" ht="23.25" hidden="false" customHeight="true" outlineLevel="0" collapsed="false">
      <c r="A18" s="22" t="s">
        <v>445</v>
      </c>
      <c r="B18" s="20" t="s">
        <v>446</v>
      </c>
      <c r="C18" s="17" t="s">
        <v>447</v>
      </c>
      <c r="D18" s="23"/>
    </row>
    <row r="19" customFormat="false" ht="15" hidden="false" customHeight="true" outlineLevel="0" collapsed="false">
      <c r="A19" s="22" t="s">
        <v>448</v>
      </c>
      <c r="B19" s="20" t="s">
        <v>449</v>
      </c>
      <c r="C19" s="17" t="s">
        <v>450</v>
      </c>
      <c r="D19" s="23"/>
    </row>
    <row r="20" customFormat="false" ht="15" hidden="false" customHeight="true" outlineLevel="0" collapsed="false">
      <c r="A20" s="22" t="s">
        <v>451</v>
      </c>
      <c r="B20" s="20" t="s">
        <v>452</v>
      </c>
      <c r="C20" s="17" t="s">
        <v>453</v>
      </c>
      <c r="D20" s="23"/>
    </row>
    <row r="21" customFormat="false" ht="80.25" hidden="false" customHeight="true" outlineLevel="0" collapsed="false">
      <c r="A21" s="22" t="s">
        <v>454</v>
      </c>
      <c r="B21" s="20" t="s">
        <v>455</v>
      </c>
      <c r="C21" s="17" t="s">
        <v>456</v>
      </c>
      <c r="D21" s="23"/>
    </row>
    <row r="22" customFormat="false" ht="80.25" hidden="false" customHeight="true" outlineLevel="0" collapsed="false">
      <c r="A22" s="22" t="s">
        <v>457</v>
      </c>
      <c r="B22" s="20" t="s">
        <v>458</v>
      </c>
      <c r="C22" s="17" t="s">
        <v>459</v>
      </c>
      <c r="D22" s="23"/>
    </row>
    <row r="23" customFormat="false" ht="42" hidden="false" customHeight="true" outlineLevel="0" collapsed="false">
      <c r="A23" s="22" t="s">
        <v>460</v>
      </c>
      <c r="B23" s="20" t="s">
        <v>461</v>
      </c>
      <c r="C23" s="17" t="s">
        <v>462</v>
      </c>
      <c r="D23" s="23"/>
    </row>
    <row r="24" customFormat="false" ht="42" hidden="false" customHeight="true" outlineLevel="0" collapsed="false">
      <c r="A24" s="22" t="s">
        <v>463</v>
      </c>
      <c r="B24" s="20" t="s">
        <v>464</v>
      </c>
      <c r="C24" s="17" t="s">
        <v>465</v>
      </c>
      <c r="D24" s="23"/>
    </row>
    <row r="25" customFormat="false" ht="42" hidden="false" customHeight="true" outlineLevel="0" collapsed="false">
      <c r="A25" s="22" t="s">
        <v>466</v>
      </c>
      <c r="B25" s="20" t="s">
        <v>467</v>
      </c>
      <c r="C25" s="17" t="s">
        <v>468</v>
      </c>
      <c r="D25" s="23"/>
    </row>
    <row r="26" customFormat="false" ht="42" hidden="false" customHeight="true" outlineLevel="0" collapsed="false">
      <c r="A26" s="22" t="s">
        <v>469</v>
      </c>
      <c r="B26" s="20" t="s">
        <v>470</v>
      </c>
      <c r="C26" s="17" t="s">
        <v>471</v>
      </c>
      <c r="D26" s="23"/>
    </row>
    <row r="27" customFormat="false" ht="54.75" hidden="false" customHeight="true" outlineLevel="0" collapsed="false">
      <c r="A27" s="22" t="s">
        <v>472</v>
      </c>
      <c r="B27" s="20" t="s">
        <v>473</v>
      </c>
      <c r="C27" s="17" t="s">
        <v>474</v>
      </c>
      <c r="D27" s="23"/>
    </row>
    <row r="28" customFormat="false" ht="42" hidden="false" customHeight="true" outlineLevel="0" collapsed="false">
      <c r="A28" s="22" t="s">
        <v>475</v>
      </c>
      <c r="B28" s="20" t="s">
        <v>476</v>
      </c>
      <c r="C28" s="17" t="s">
        <v>477</v>
      </c>
      <c r="D28" s="23"/>
    </row>
    <row r="29" customFormat="false" ht="42" hidden="false" customHeight="true" outlineLevel="0" collapsed="false">
      <c r="A29" s="22" t="s">
        <v>478</v>
      </c>
      <c r="B29" s="20" t="s">
        <v>479</v>
      </c>
      <c r="C29" s="17" t="s">
        <v>480</v>
      </c>
      <c r="D29" s="23"/>
    </row>
    <row r="30" customFormat="false" ht="29.25" hidden="false" customHeight="true" outlineLevel="0" collapsed="false">
      <c r="A30" s="22" t="s">
        <v>481</v>
      </c>
      <c r="B30" s="20" t="s">
        <v>482</v>
      </c>
      <c r="C30" s="17" t="s">
        <v>483</v>
      </c>
      <c r="D30" s="23"/>
    </row>
    <row r="31" customFormat="false" ht="42" hidden="false" customHeight="true" outlineLevel="0" collapsed="false">
      <c r="A31" s="22" t="s">
        <v>484</v>
      </c>
      <c r="B31" s="20" t="s">
        <v>485</v>
      </c>
      <c r="C31" s="17" t="s">
        <v>486</v>
      </c>
      <c r="D31" s="23"/>
    </row>
    <row r="32" customFormat="false" ht="42" hidden="false" customHeight="true" outlineLevel="0" collapsed="false">
      <c r="A32" s="22" t="s">
        <v>487</v>
      </c>
      <c r="B32" s="20" t="s">
        <v>488</v>
      </c>
      <c r="C32" s="17" t="s">
        <v>489</v>
      </c>
      <c r="D32" s="23"/>
    </row>
    <row r="33" customFormat="false" ht="80.25" hidden="false" customHeight="true" outlineLevel="0" collapsed="false">
      <c r="A33" s="22" t="s">
        <v>490</v>
      </c>
      <c r="B33" s="20" t="s">
        <v>491</v>
      </c>
      <c r="C33" s="17" t="s">
        <v>492</v>
      </c>
      <c r="D33" s="23"/>
    </row>
    <row r="34" customFormat="false" ht="42" hidden="false" customHeight="true" outlineLevel="0" collapsed="false">
      <c r="A34" s="22" t="s">
        <v>493</v>
      </c>
      <c r="B34" s="20" t="s">
        <v>494</v>
      </c>
      <c r="C34" s="17" t="s">
        <v>495</v>
      </c>
      <c r="D34" s="23"/>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8"/>
    <col collapsed="false" customWidth="true" hidden="false" outlineLevel="0" max="4" min="4" style="1" width="16"/>
    <col collapsed="false" customWidth="true" hidden="false" outlineLevel="0" max="5" min="5" style="1" width="9"/>
    <col collapsed="false" customWidth="true" hidden="false" outlineLevel="0" max="6" min="6" style="1" width="30"/>
    <col collapsed="false" customWidth="true" hidden="false" outlineLevel="0" max="7" min="7" style="1" width="40"/>
    <col collapsed="false" customWidth="true" hidden="false" outlineLevel="0" max="8" min="8" style="1" width="34"/>
    <col collapsed="false" customWidth="true" hidden="false" outlineLevel="0" max="9" min="9" style="1" width="44"/>
    <col collapsed="false" customWidth="true" hidden="false" outlineLevel="0" max="10" min="10" style="1" width="11"/>
    <col collapsed="false" customWidth="true" hidden="false" outlineLevel="0" max="11" min="11" style="1" width="30"/>
    <col collapsed="false" customWidth="true" hidden="false" outlineLevel="0" max="12" min="12" style="1" width="10"/>
    <col collapsed="false" customWidth="true" hidden="false" outlineLevel="0" max="13" min="13" style="1" width="24"/>
  </cols>
  <sheetData>
    <row r="1" customFormat="false" ht="27.75" hidden="false" customHeight="true" outlineLevel="0" collapsed="false">
      <c r="A1" s="7" t="s">
        <v>31</v>
      </c>
      <c r="B1" s="7" t="s">
        <v>496</v>
      </c>
      <c r="C1" s="7" t="s">
        <v>32</v>
      </c>
      <c r="D1" s="7" t="s">
        <v>497</v>
      </c>
      <c r="E1" s="7" t="s">
        <v>498</v>
      </c>
      <c r="F1" s="7" t="s">
        <v>499</v>
      </c>
      <c r="G1" s="7" t="s">
        <v>500</v>
      </c>
      <c r="H1" s="7" t="s">
        <v>501</v>
      </c>
      <c r="I1" s="7" t="s">
        <v>33</v>
      </c>
      <c r="J1" s="7" t="s">
        <v>502</v>
      </c>
      <c r="K1" s="7" t="s">
        <v>34</v>
      </c>
      <c r="L1" s="7" t="s">
        <v>35</v>
      </c>
      <c r="M1" s="7" t="s">
        <v>36</v>
      </c>
    </row>
    <row r="2" customFormat="false" ht="105.75" hidden="false" customHeight="true" outlineLevel="0" collapsed="false">
      <c r="A2" s="22" t="s">
        <v>503</v>
      </c>
      <c r="B2" s="17" t="s">
        <v>504</v>
      </c>
      <c r="C2" s="17" t="s">
        <v>505</v>
      </c>
      <c r="D2" s="17" t="s">
        <v>51</v>
      </c>
      <c r="E2" s="21" t="s">
        <v>506</v>
      </c>
      <c r="F2" s="17" t="s">
        <v>507</v>
      </c>
      <c r="G2" s="17" t="s">
        <v>508</v>
      </c>
      <c r="H2" s="17" t="s">
        <v>509</v>
      </c>
      <c r="I2" s="17" t="s">
        <v>510</v>
      </c>
      <c r="J2" s="21" t="s">
        <v>511</v>
      </c>
      <c r="K2" s="23" t="inlineStr">
        <is>
          <t xml:space="preserve">The registration flow leads to email verification, but Invoiz also asks for sex and a complete province, municipality, and barangay address. The account stays pending until an admin approves it.</t>
        </is>
      </c>
      <c r="L2" s="24" t="s">
        <v>14</v>
      </c>
      <c r="M2" s="23" t="inlineStr">
        <is>
          <t xml:space="preserve">Source review only; not tested on a phone. Finding: partial.</t>
        </is>
      </c>
    </row>
    <row r="3" customFormat="false" ht="42" hidden="false" customHeight="true" outlineLevel="0" collapsed="false">
      <c r="A3" s="22" t="s">
        <v>512</v>
      </c>
      <c r="B3" s="17" t="s">
        <v>513</v>
      </c>
      <c r="C3" s="17" t="s">
        <v>514</v>
      </c>
      <c r="D3" s="17" t="s">
        <v>43</v>
      </c>
      <c r="E3" s="21" t="s">
        <v>506</v>
      </c>
      <c r="F3" s="17" t="s">
        <v>515</v>
      </c>
      <c r="G3" s="17" t="s">
        <v>516</v>
      </c>
      <c r="H3" s="17" t="s">
        <v>517</v>
      </c>
      <c r="I3" s="17" t="s">
        <v>518</v>
      </c>
      <c r="J3" s="21" t="s">
        <v>406</v>
      </c>
      <c r="K3" s="23" t="inlineStr">
        <is>
          <t xml:space="preserve">Empty name, email, phone, sex, and password fields have required checks. Birthday and address use separate messages, so they are not all highlighted together.</t>
        </is>
      </c>
      <c r="L3" s="24" t="s">
        <v>14</v>
      </c>
      <c r="M3" s="23" t="inlineStr">
        <is>
          <t xml:space="preserve">Source review only; not tested on a phone. Finding: partial.</t>
        </is>
      </c>
    </row>
    <row r="4" customFormat="false" ht="105.75" hidden="false" customHeight="true" outlineLevel="0" collapsed="false">
      <c r="A4" s="22" t="s">
        <v>519</v>
      </c>
      <c r="B4" s="17" t="s">
        <v>513</v>
      </c>
      <c r="C4" s="17" t="s">
        <v>520</v>
      </c>
      <c r="D4" s="17" t="s">
        <v>43</v>
      </c>
      <c r="E4" s="21" t="s">
        <v>506</v>
      </c>
      <c r="F4" s="17" t="s">
        <v>515</v>
      </c>
      <c r="G4" s="17" t="s">
        <v>521</v>
      </c>
      <c r="H4" s="17" t="s">
        <v>522</v>
      </c>
      <c r="I4" s="17" t="s">
        <v>523</v>
      </c>
      <c r="J4" s="21" t="s">
        <v>406</v>
      </c>
      <c r="K4" s="23" t="inlineStr">
        <is>
          <t xml:space="preserve">Required fields are checked before submission, and entered values stay in the form. Birthday uses a separate message rather than an error directly below the field.</t>
        </is>
      </c>
      <c r="L4" s="24" t="s">
        <v>14</v>
      </c>
      <c r="M4" s="23" t="inlineStr">
        <is>
          <t xml:space="preserve">Source review only; not tested on a phone. Finding: partial.</t>
        </is>
      </c>
    </row>
    <row r="5" customFormat="false" ht="42" hidden="false" customHeight="true" outlineLevel="0" collapsed="false">
      <c r="A5" s="22" t="s">
        <v>524</v>
      </c>
      <c r="B5" s="17" t="s">
        <v>525</v>
      </c>
      <c r="C5" s="17" t="s">
        <v>526</v>
      </c>
      <c r="D5" s="17" t="s">
        <v>43</v>
      </c>
      <c r="E5" s="21" t="s">
        <v>527</v>
      </c>
      <c r="F5" s="17" t="s">
        <v>515</v>
      </c>
      <c r="G5" s="17" t="s">
        <v>528</v>
      </c>
      <c r="H5" s="17" t="s">
        <v>529</v>
      </c>
      <c r="I5" s="17" t="s">
        <v>530</v>
      </c>
      <c r="J5" s="21" t="s">
        <v>409</v>
      </c>
      <c r="K5" s="23" t="inlineStr">
        <is>
          <t xml:space="preserve">The current name checks do not reject numbers or symbols, so names like Juan123 are not specifically blocked.</t>
        </is>
      </c>
      <c r="L5" s="24" t="s">
        <v>14</v>
      </c>
      <c r="M5" s="23" t="inlineStr">
        <is>
          <t xml:space="preserve">Source review only; not tested on a phone. Finding: gap.</t>
        </is>
      </c>
    </row>
    <row r="6" customFormat="false" ht="54.75" hidden="false" customHeight="true" outlineLevel="0" collapsed="false">
      <c r="A6" s="22" t="s">
        <v>531</v>
      </c>
      <c r="B6" s="17" t="s">
        <v>525</v>
      </c>
      <c r="C6" s="17" t="s">
        <v>532</v>
      </c>
      <c r="D6" s="17" t="s">
        <v>43</v>
      </c>
      <c r="E6" s="21" t="s">
        <v>533</v>
      </c>
      <c r="F6" s="17" t="s">
        <v>507</v>
      </c>
      <c r="G6" s="17" t="s">
        <v>528</v>
      </c>
      <c r="H6" s="17" t="s">
        <v>534</v>
      </c>
      <c r="I6" s="17" t="s">
        <v>535</v>
      </c>
      <c r="J6" s="21" t="s">
        <v>409</v>
      </c>
      <c r="K6" s="23" t="inlineStr">
        <is>
          <t xml:space="preserve">The name fields allow accented letters and punctuation, including Niño and Peñaflor-O'Hara. Saving the exact spelling still needs a live registration check.</t>
        </is>
      </c>
      <c r="L6" s="24" t="s">
        <v>14</v>
      </c>
      <c r="M6" s="23" t="inlineStr">
        <is>
          <t xml:space="preserve">Source review only; not tested on a phone. Finding: supported.</t>
        </is>
      </c>
    </row>
    <row r="7" customFormat="false" ht="80.25" hidden="false" customHeight="true" outlineLevel="0" collapsed="false">
      <c r="A7" s="22" t="s">
        <v>536</v>
      </c>
      <c r="B7" s="17" t="s">
        <v>525</v>
      </c>
      <c r="C7" s="17" t="s">
        <v>537</v>
      </c>
      <c r="D7" s="17" t="s">
        <v>45</v>
      </c>
      <c r="E7" s="21" t="s">
        <v>527</v>
      </c>
      <c r="F7" s="17" t="s">
        <v>507</v>
      </c>
      <c r="G7" s="17" t="s">
        <v>538</v>
      </c>
      <c r="H7" s="17" t="s">
        <v>539</v>
      </c>
      <c r="I7" s="17" t="s">
        <v>540</v>
      </c>
      <c r="J7" s="21" t="s">
        <v>409</v>
      </c>
      <c r="K7" s="23" t="inlineStr">
        <is>
          <t xml:space="preserve">Invoiz allows names up to 100 characters and has no two-character minimum. The workbook's one- and 51-character rejection rules are not implemented.</t>
        </is>
      </c>
      <c r="L7" s="24" t="s">
        <v>14</v>
      </c>
      <c r="M7" s="23" t="inlineStr">
        <is>
          <t xml:space="preserve">Source review only; not tested on a phone. Finding: gap.</t>
        </is>
      </c>
    </row>
    <row r="8" customFormat="false" ht="93" hidden="false" customHeight="true" outlineLevel="0" collapsed="false">
      <c r="A8" s="22" t="s">
        <v>541</v>
      </c>
      <c r="B8" s="17" t="s">
        <v>89</v>
      </c>
      <c r="C8" s="17" t="s">
        <v>542</v>
      </c>
      <c r="D8" s="17" t="s">
        <v>45</v>
      </c>
      <c r="E8" s="21" t="s">
        <v>506</v>
      </c>
      <c r="F8" s="17" t="s">
        <v>507</v>
      </c>
      <c r="G8" s="17" t="s">
        <v>543</v>
      </c>
      <c r="H8" s="17" t="str">
        <f aca="true">"Born "&amp;TEXT(EDATE(TODAY(),-216)+1,"mm/dd/yyyy")&amp;" (17 years old, reject)"&amp;CHAR(10)&amp;"Born "&amp;TEXT(EDATE(TODAY(),-216),"mm/dd/yyyy")&amp;" (turns 18 today, accept)"&amp;CHAR(10)&amp;"Born "&amp;TEXT(EDATE(TODAY(),-216)-1,"mm/dd/yyyy")&amp;" (18 years and 1 day, accept)"</f>
        <v>Born 10/22/2008 (17 years old, reject)
Born 10/21/2008 (turns 18 today, accept)
Born 10/20/2008 (18 years and 1 day, accept)</v>
      </c>
      <c r="I8" s="17" t="s">
        <v>544</v>
      </c>
      <c r="J8" s="21" t="s">
        <v>421</v>
      </c>
      <c r="K8" s="23" t="inlineStr">
        <is>
          <t xml:space="preserve">The app calculates age but does not require buyers to be 18. Use dates relative to the actual test day when checking this boundary.</t>
        </is>
      </c>
      <c r="L8" s="24" t="s">
        <v>14</v>
      </c>
      <c r="M8" s="23" t="inlineStr">
        <is>
          <t xml:space="preserve">Source review only; not tested on a phone. Finding: gap.</t>
        </is>
      </c>
    </row>
    <row r="9" customFormat="false" ht="42" hidden="false" customHeight="true" outlineLevel="0" collapsed="false">
      <c r="A9" s="22" t="s">
        <v>545</v>
      </c>
      <c r="B9" s="17" t="s">
        <v>89</v>
      </c>
      <c r="C9" s="17" t="s">
        <v>546</v>
      </c>
      <c r="D9" s="17" t="s">
        <v>43</v>
      </c>
      <c r="E9" s="21" t="s">
        <v>527</v>
      </c>
      <c r="F9" s="17" t="s">
        <v>515</v>
      </c>
      <c r="G9" s="17" t="s">
        <v>547</v>
      </c>
      <c r="H9" s="17" t="str">
        <f aca="true">"Date of Birth: "&amp;TEXT(TODAY()+1,"mm/dd/yyyy")&amp;" (tomorrow)"</f>
        <v>Date of Birth: 10/22/2026 (tomorrow)</v>
      </c>
      <c r="I9" s="17" t="s">
        <v>548</v>
      </c>
      <c r="J9" s="21" t="s">
        <v>421</v>
      </c>
      <c r="K9" s="23" t="inlineStr">
        <is>
          <t xml:space="preserve">The date picker excludes future birthdays, and the server also requires a date before today. The date labelled tomorrow in the workbook should be checked against the actual test day.</t>
        </is>
      </c>
      <c r="L9" s="24" t="s">
        <v>14</v>
      </c>
      <c r="M9" s="23" t="inlineStr">
        <is>
          <t xml:space="preserve">Source review only; not tested on a phone. Finding: supported.</t>
        </is>
      </c>
    </row>
    <row r="10" customFormat="false" ht="67.5" hidden="false" customHeight="true" outlineLevel="0" collapsed="false">
      <c r="A10" s="22" t="s">
        <v>549</v>
      </c>
      <c r="B10" s="17" t="s">
        <v>81</v>
      </c>
      <c r="C10" s="17" t="s">
        <v>550</v>
      </c>
      <c r="D10" s="17" t="s">
        <v>43</v>
      </c>
      <c r="E10" s="21" t="s">
        <v>506</v>
      </c>
      <c r="F10" s="17" t="s">
        <v>515</v>
      </c>
      <c r="G10" s="17" t="s">
        <v>551</v>
      </c>
      <c r="H10" s="17" t="s">
        <v>552</v>
      </c>
      <c r="I10" s="17" t="s">
        <v>553</v>
      </c>
      <c r="J10" s="21" t="s">
        <v>412</v>
      </c>
      <c r="K10" s="23" t="inlineStr">
        <is>
          <t xml:space="preserve">The app checks for an @ sign, and the server applies a stricter email check. The exact messages and all five examples still need a live test.</t>
        </is>
      </c>
      <c r="L10" s="24" t="s">
        <v>14</v>
      </c>
      <c r="M10" s="23" t="inlineStr">
        <is>
          <t xml:space="preserve">Source review only; not tested on a phone. Finding: partial.</t>
        </is>
      </c>
    </row>
    <row r="11" customFormat="false" ht="54.75" hidden="false" customHeight="true" outlineLevel="0" collapsed="false">
      <c r="A11" s="22" t="s">
        <v>37</v>
      </c>
      <c r="B11" s="17" t="s">
        <v>81</v>
      </c>
      <c r="C11" s="17" t="s">
        <v>38</v>
      </c>
      <c r="D11" s="17" t="s">
        <v>43</v>
      </c>
      <c r="E11" s="21" t="s">
        <v>506</v>
      </c>
      <c r="F11" s="17" t="s">
        <v>554</v>
      </c>
      <c r="G11" s="17" t="s">
        <v>555</v>
      </c>
      <c r="H11" s="17" t="s">
        <v>556</v>
      </c>
      <c r="I11" s="17" t="s">
        <v>39</v>
      </c>
      <c r="J11" s="21" t="s">
        <v>412</v>
      </c>
      <c r="K11" s="23" t="inlineStr">
        <is>
          <t xml:space="preserve">Registration checks whether the email is already used and rejects a duplicate. This needs an existing test account to confirm the message on the phone.</t>
        </is>
      </c>
      <c r="L11" s="24" t="s">
        <v>14</v>
      </c>
      <c r="M11" s="23" t="inlineStr">
        <is>
          <t xml:space="preserve">Source review only; not tested on a phone. Finding: supported.</t>
        </is>
      </c>
    </row>
    <row r="12" customFormat="false" ht="54.75" hidden="false" customHeight="true" outlineLevel="0" collapsed="false">
      <c r="A12" s="22" t="s">
        <v>557</v>
      </c>
      <c r="B12" s="17" t="s">
        <v>81</v>
      </c>
      <c r="C12" s="17" t="s">
        <v>558</v>
      </c>
      <c r="D12" s="17" t="s">
        <v>53</v>
      </c>
      <c r="E12" s="21" t="s">
        <v>527</v>
      </c>
      <c r="F12" s="17" t="s">
        <v>554</v>
      </c>
      <c r="G12" s="17" t="s">
        <v>559</v>
      </c>
      <c r="H12" s="17" t="s">
        <v>560</v>
      </c>
      <c r="I12" s="17" t="s">
        <v>561</v>
      </c>
      <c r="J12" s="21" t="s">
        <v>412</v>
      </c>
      <c r="K12" s="23" t="inlineStr">
        <is>
          <t xml:space="preserve">The supplied database schema treats email addresses without regard to letter case, so the uppercase address should count as a duplicate. The running database still needs checking.</t>
        </is>
      </c>
      <c r="L12" s="24" t="s">
        <v>14</v>
      </c>
      <c r="M12" s="23" t="inlineStr">
        <is>
          <t xml:space="preserve">Source review only; not tested on a phone. Finding: supported.</t>
        </is>
      </c>
    </row>
    <row r="13" customFormat="false" ht="54.75" hidden="false" customHeight="true" outlineLevel="0" collapsed="false">
      <c r="A13" s="22" t="s">
        <v>562</v>
      </c>
      <c r="B13" s="17" t="s">
        <v>81</v>
      </c>
      <c r="C13" s="17" t="s">
        <v>563</v>
      </c>
      <c r="D13" s="17" t="s">
        <v>53</v>
      </c>
      <c r="E13" s="21" t="s">
        <v>533</v>
      </c>
      <c r="F13" s="17" t="s">
        <v>507</v>
      </c>
      <c r="G13" s="17" t="s">
        <v>564</v>
      </c>
      <c r="H13" s="17" t="s">
        <v>565</v>
      </c>
      <c r="I13" s="17" t="s">
        <v>566</v>
      </c>
      <c r="J13" s="21" t="s">
        <v>412</v>
      </c>
      <c r="K13" s="23" t="inlineStr">
        <is>
          <t xml:space="preserve">Spaces at the start and end of the email are removed before registration is sent.</t>
        </is>
      </c>
      <c r="L13" s="24" t="s">
        <v>14</v>
      </c>
      <c r="M13" s="23" t="inlineStr">
        <is>
          <t xml:space="preserve">Source review only; not tested on a phone. Finding: supported.</t>
        </is>
      </c>
    </row>
    <row r="14" customFormat="false" ht="54.75" hidden="false" customHeight="true" outlineLevel="0" collapsed="false">
      <c r="A14" s="22" t="s">
        <v>567</v>
      </c>
      <c r="B14" s="17" t="s">
        <v>85</v>
      </c>
      <c r="C14" s="17" t="s">
        <v>568</v>
      </c>
      <c r="D14" s="17" t="s">
        <v>43</v>
      </c>
      <c r="E14" s="21" t="s">
        <v>506</v>
      </c>
      <c r="F14" s="17" t="s">
        <v>515</v>
      </c>
      <c r="G14" s="17" t="s">
        <v>569</v>
      </c>
      <c r="H14" s="17" t="s">
        <v>570</v>
      </c>
      <c r="I14" s="17" t="s">
        <v>571</v>
      </c>
      <c r="J14" s="21" t="s">
        <v>415</v>
      </c>
      <c r="K14" s="23" t="inlineStr">
        <is>
          <t xml:space="preserve">Phone numbers are checked as required text, without a Philippine mobile-number format rule. The invalid examples are not specifically rejected for their format.</t>
        </is>
      </c>
      <c r="L14" s="24" t="s">
        <v>14</v>
      </c>
      <c r="M14" s="23" t="inlineStr">
        <is>
          <t xml:space="preserve">Source review only; not tested on a phone. Finding: gap.</t>
        </is>
      </c>
    </row>
    <row r="15" customFormat="false" ht="54.75" hidden="false" customHeight="true" outlineLevel="0" collapsed="false">
      <c r="A15" s="22" t="s">
        <v>572</v>
      </c>
      <c r="B15" s="17" t="s">
        <v>85</v>
      </c>
      <c r="C15" s="17" t="s">
        <v>573</v>
      </c>
      <c r="D15" s="17" t="s">
        <v>45</v>
      </c>
      <c r="E15" s="21" t="s">
        <v>506</v>
      </c>
      <c r="F15" s="17" t="s">
        <v>507</v>
      </c>
      <c r="G15" s="17" t="s">
        <v>569</v>
      </c>
      <c r="H15" s="17" t="s">
        <v>574</v>
      </c>
      <c r="I15" s="17" t="s">
        <v>575</v>
      </c>
      <c r="J15" s="21" t="s">
        <v>415</v>
      </c>
      <c r="K15" s="23" t="inlineStr">
        <is>
          <t xml:space="preserve">There is no 11-digit phone-number rule in the current form or server checks. Both shorter and longer numbers can pass those checks.</t>
        </is>
      </c>
      <c r="L15" s="24" t="s">
        <v>14</v>
      </c>
      <c r="M15" s="23" t="inlineStr">
        <is>
          <t xml:space="preserve">Source review only; not tested on a phone. Finding: gap.</t>
        </is>
      </c>
    </row>
    <row r="16" customFormat="false" ht="42" hidden="false" customHeight="true" outlineLevel="0" collapsed="false">
      <c r="A16" s="22" t="s">
        <v>576</v>
      </c>
      <c r="B16" s="17" t="s">
        <v>85</v>
      </c>
      <c r="C16" s="17" t="s">
        <v>577</v>
      </c>
      <c r="D16" s="17" t="s">
        <v>43</v>
      </c>
      <c r="E16" s="21" t="s">
        <v>527</v>
      </c>
      <c r="F16" s="17" t="s">
        <v>578</v>
      </c>
      <c r="G16" s="17" t="s">
        <v>579</v>
      </c>
      <c r="H16" s="17" t="s">
        <v>580</v>
      </c>
      <c r="I16" s="17" t="s">
        <v>581</v>
      </c>
      <c r="J16" s="21" t="s">
        <v>415</v>
      </c>
      <c r="K16" s="23" t="inlineStr">
        <is>
          <t xml:space="preserve">The current registration checks do not require a unique phone number, so an existing number is not blocked on that basis.</t>
        </is>
      </c>
      <c r="L16" s="24" t="s">
        <v>14</v>
      </c>
      <c r="M16" s="23" t="inlineStr">
        <is>
          <t xml:space="preserve">Source review only; not tested on a phone. Finding: gap.</t>
        </is>
      </c>
    </row>
    <row r="17" customFormat="false" ht="42" hidden="false" customHeight="true" outlineLevel="0" collapsed="false">
      <c r="A17" s="22" t="s">
        <v>582</v>
      </c>
      <c r="B17" s="17" t="s">
        <v>85</v>
      </c>
      <c r="C17" s="17" t="s">
        <v>583</v>
      </c>
      <c r="D17" s="17" t="s">
        <v>53</v>
      </c>
      <c r="E17" s="21" t="s">
        <v>527</v>
      </c>
      <c r="F17" s="17" t="s">
        <v>578</v>
      </c>
      <c r="G17" s="17" t="s">
        <v>584</v>
      </c>
      <c r="H17" s="17" t="s">
        <v>585</v>
      </c>
      <c r="I17" s="17" t="s">
        <v>586</v>
      </c>
      <c r="J17" s="21" t="s">
        <v>415</v>
      </c>
      <c r="K17" s="23" t="inlineStr">
        <is>
          <t xml:space="preserve">Invoiz does not normalise +63 and 09 phone numbers or check whether they belong to an existing account.</t>
        </is>
      </c>
      <c r="L17" s="24" t="s">
        <v>14</v>
      </c>
      <c r="M17" s="23" t="inlineStr">
        <is>
          <t xml:space="preserve">Source review only; not tested on a phone. Finding: gap.</t>
        </is>
      </c>
    </row>
    <row r="18" customFormat="false" ht="54.75" hidden="false" customHeight="true" outlineLevel="0" collapsed="false">
      <c r="A18" s="22" t="s">
        <v>587</v>
      </c>
      <c r="B18" s="17" t="s">
        <v>94</v>
      </c>
      <c r="C18" s="17" t="s">
        <v>588</v>
      </c>
      <c r="D18" s="17" t="s">
        <v>45</v>
      </c>
      <c r="E18" s="21" t="s">
        <v>506</v>
      </c>
      <c r="F18" s="17" t="s">
        <v>507</v>
      </c>
      <c r="G18" s="17" t="s">
        <v>589</v>
      </c>
      <c r="H18" s="17" t="s">
        <v>590</v>
      </c>
      <c r="I18" s="17" t="s">
        <v>591</v>
      </c>
      <c r="J18" s="21" t="s">
        <v>418</v>
      </c>
      <c r="K18" s="23" t="inlineStr">
        <is>
          <t xml:space="preserve">The server requires at least eight password characters. The seven-character example should be rejected, while the eight-character example meets the length rule.</t>
        </is>
      </c>
      <c r="L18" s="24" t="s">
        <v>14</v>
      </c>
      <c r="M18" s="23" t="inlineStr">
        <is>
          <t xml:space="preserve">Source review only; not tested on a phone. Finding: supported.</t>
        </is>
      </c>
    </row>
    <row r="19" customFormat="false" ht="54.75" hidden="false" customHeight="true" outlineLevel="0" collapsed="false">
      <c r="A19" s="22" t="s">
        <v>592</v>
      </c>
      <c r="B19" s="17" t="s">
        <v>94</v>
      </c>
      <c r="C19" s="17" t="s">
        <v>593</v>
      </c>
      <c r="D19" s="17" t="s">
        <v>47</v>
      </c>
      <c r="E19" s="21" t="s">
        <v>506</v>
      </c>
      <c r="F19" s="17" t="s">
        <v>515</v>
      </c>
      <c r="G19" s="17" t="s">
        <v>589</v>
      </c>
      <c r="H19" s="17" t="s">
        <v>594</v>
      </c>
      <c r="I19" s="17" t="s">
        <v>595</v>
      </c>
      <c r="J19" s="21" t="s">
        <v>418</v>
      </c>
      <c r="K19" s="23" t="inlineStr">
        <is>
          <t xml:space="preserve">Passwords only need eight characters and a matching confirmation. Uppercase letters, lowercase letters, numbers, and symbols are not all required.</t>
        </is>
      </c>
      <c r="L19" s="24" t="s">
        <v>14</v>
      </c>
      <c r="M19" s="23" t="inlineStr">
        <is>
          <t xml:space="preserve">Source review only; not tested on a phone. Finding: gap.</t>
        </is>
      </c>
    </row>
    <row r="20" customFormat="false" ht="54.75" hidden="false" customHeight="true" outlineLevel="0" collapsed="false">
      <c r="A20" s="22" t="s">
        <v>596</v>
      </c>
      <c r="B20" s="17" t="s">
        <v>94</v>
      </c>
      <c r="C20" s="17" t="s">
        <v>597</v>
      </c>
      <c r="D20" s="17" t="s">
        <v>43</v>
      </c>
      <c r="E20" s="21" t="s">
        <v>506</v>
      </c>
      <c r="F20" s="17" t="s">
        <v>515</v>
      </c>
      <c r="G20" s="17" t="s">
        <v>598</v>
      </c>
      <c r="H20" s="17" t="s">
        <v>599</v>
      </c>
      <c r="I20" s="17" t="s">
        <v>600</v>
      </c>
      <c r="J20" s="21" t="s">
        <v>418</v>
      </c>
      <c r="K20" s="23" t="inlineStr">
        <is>
          <t xml:space="preserve">A different confirmation password is blocked with a passwords-do-not-match message.</t>
        </is>
      </c>
      <c r="L20" s="24" t="s">
        <v>14</v>
      </c>
      <c r="M20" s="23" t="inlineStr">
        <is>
          <t xml:space="preserve">Source review only; not tested on a phone. Finding: supported.</t>
        </is>
      </c>
    </row>
    <row r="21" customFormat="false" ht="42" hidden="false" customHeight="true" outlineLevel="0" collapsed="false">
      <c r="A21" s="22" t="s">
        <v>601</v>
      </c>
      <c r="B21" s="17" t="s">
        <v>94</v>
      </c>
      <c r="C21" s="17" t="s">
        <v>602</v>
      </c>
      <c r="D21" s="17" t="s">
        <v>53</v>
      </c>
      <c r="E21" s="21" t="s">
        <v>533</v>
      </c>
      <c r="F21" s="17" t="s">
        <v>515</v>
      </c>
      <c r="G21" s="17" t="s">
        <v>603</v>
      </c>
      <c r="H21" s="17" t="s">
        <v>604</v>
      </c>
      <c r="I21" s="17" t="s">
        <v>605</v>
      </c>
      <c r="J21" s="21" t="s">
        <v>418</v>
      </c>
      <c r="K21" s="23" t="inlineStr">
        <is>
          <t xml:space="preserve">Passwords are hidden while typing. The registration form does not include an eye icon to reveal and hide them.</t>
        </is>
      </c>
      <c r="L21" s="24" t="s">
        <v>14</v>
      </c>
      <c r="M21" s="23" t="inlineStr">
        <is>
          <t xml:space="preserve">Source review only; not tested on a phone. Finding: partial.</t>
        </is>
      </c>
    </row>
    <row r="22" customFormat="false" ht="54.75" hidden="false" customHeight="true" outlineLevel="0" collapsed="false">
      <c r="A22" s="22" t="s">
        <v>606</v>
      </c>
      <c r="B22" s="17" t="s">
        <v>100</v>
      </c>
      <c r="C22" s="17" t="s">
        <v>607</v>
      </c>
      <c r="D22" s="17" t="s">
        <v>43</v>
      </c>
      <c r="E22" s="21" t="s">
        <v>527</v>
      </c>
      <c r="F22" s="17" t="s">
        <v>515</v>
      </c>
      <c r="G22" s="17" t="s">
        <v>608</v>
      </c>
      <c r="H22" s="17" t="s">
        <v>609</v>
      </c>
      <c r="I22" s="17" t="s">
        <v>610</v>
      </c>
      <c r="J22" s="21" t="s">
        <v>406</v>
      </c>
      <c r="K22" s="23" t="inlineStr">
        <is>
          <t xml:space="preserve">I couldn't find a Terms and Privacy checkbox on the registration screen. Submitting does not depend on accepting those terms.</t>
        </is>
      </c>
      <c r="L22" s="24" t="s">
        <v>14</v>
      </c>
      <c r="M22" s="23" t="inlineStr">
        <is>
          <t xml:space="preserve">Source review only; not tested on a phone. Finding: missing.</t>
        </is>
      </c>
    </row>
    <row r="23" customFormat="false" ht="54.75" hidden="false" customHeight="true" outlineLevel="0" collapsed="false">
      <c r="A23" s="22" t="s">
        <v>611</v>
      </c>
      <c r="B23" s="17" t="s">
        <v>504</v>
      </c>
      <c r="C23" s="17" t="s">
        <v>612</v>
      </c>
      <c r="D23" s="17" t="s">
        <v>53</v>
      </c>
      <c r="E23" s="21" t="s">
        <v>527</v>
      </c>
      <c r="F23" s="17" t="s">
        <v>507</v>
      </c>
      <c r="G23" s="17" t="s">
        <v>613</v>
      </c>
      <c r="H23" s="17" t="s">
        <v>614</v>
      </c>
      <c r="I23" s="17" t="s">
        <v>615</v>
      </c>
      <c r="J23" s="21" t="s">
        <v>412</v>
      </c>
      <c r="K23" s="23" t="inlineStr">
        <is>
          <t xml:space="preserve">Register is disabled while a request is running, and email addresses must be unique. Repeated taps still need testing to confirm only one account and one email are created.</t>
        </is>
      </c>
      <c r="L23" s="24" t="s">
        <v>14</v>
      </c>
      <c r="M23" s="23" t="inlineStr">
        <is>
          <t xml:space="preserve">Source review only; not tested on a phone. Finding: needs live check.</t>
        </is>
      </c>
    </row>
    <row r="24" customFormat="false" ht="80.25" hidden="false" customHeight="true" outlineLevel="0" collapsed="false">
      <c r="A24" s="22" t="s">
        <v>616</v>
      </c>
      <c r="B24" s="17" t="s">
        <v>617</v>
      </c>
      <c r="C24" s="17" t="s">
        <v>618</v>
      </c>
      <c r="D24" s="17" t="s">
        <v>49</v>
      </c>
      <c r="E24" s="21" t="s">
        <v>506</v>
      </c>
      <c r="F24" s="17" t="s">
        <v>619</v>
      </c>
      <c r="G24" s="17" t="s">
        <v>620</v>
      </c>
      <c r="H24" s="17" t="s">
        <v>621</v>
      </c>
      <c r="I24" s="17" t="s">
        <v>622</v>
      </c>
      <c r="J24" s="21" t="s">
        <v>623</v>
      </c>
      <c r="K24" s="23" t="inlineStr">
        <is>
          <t xml:space="preserve">A correct code verifies the email and returns the buyer to login. It does not approve the account; admin approval is still needed.</t>
        </is>
      </c>
      <c r="L24" s="24" t="s">
        <v>14</v>
      </c>
      <c r="M24" s="23" t="inlineStr">
        <is>
          <t xml:space="preserve">Source review only; not tested on a phone. Finding: gap.</t>
        </is>
      </c>
    </row>
    <row r="25" customFormat="false" ht="80.25" hidden="false" customHeight="true" outlineLevel="0" collapsed="false">
      <c r="A25" s="22" t="s">
        <v>624</v>
      </c>
      <c r="B25" s="17" t="s">
        <v>617</v>
      </c>
      <c r="C25" s="17" t="s">
        <v>625</v>
      </c>
      <c r="D25" s="17" t="s">
        <v>43</v>
      </c>
      <c r="E25" s="21" t="s">
        <v>506</v>
      </c>
      <c r="F25" s="17" t="s">
        <v>619</v>
      </c>
      <c r="G25" s="17" t="s">
        <v>626</v>
      </c>
      <c r="H25" s="17" t="s">
        <v>627</v>
      </c>
      <c r="I25" s="17" t="s">
        <v>628</v>
      </c>
      <c r="J25" s="21" t="s">
        <v>430</v>
      </c>
      <c r="K25" s="23" t="inlineStr">
        <is>
          <t xml:space="preserve">A wrong code returns a clear error and leaves the email unverified. Five wrong attempts lock that code until a new one is requested.</t>
        </is>
      </c>
      <c r="L25" s="24" t="s">
        <v>14</v>
      </c>
      <c r="M25" s="23" t="inlineStr">
        <is>
          <t xml:space="preserve">Source review only; not tested on a phone. Finding: supported.</t>
        </is>
      </c>
    </row>
    <row r="26" customFormat="false" ht="80.25" hidden="false" customHeight="true" outlineLevel="0" collapsed="false">
      <c r="A26" s="22" t="s">
        <v>629</v>
      </c>
      <c r="B26" s="17" t="s">
        <v>617</v>
      </c>
      <c r="C26" s="17" t="s">
        <v>630</v>
      </c>
      <c r="D26" s="17" t="s">
        <v>43</v>
      </c>
      <c r="E26" s="21" t="s">
        <v>527</v>
      </c>
      <c r="F26" s="17" t="s">
        <v>619</v>
      </c>
      <c r="G26" s="17" t="s">
        <v>631</v>
      </c>
      <c r="H26" s="17" t="s">
        <v>632</v>
      </c>
      <c r="I26" s="17" t="s">
        <v>633</v>
      </c>
      <c r="J26" s="21" t="s">
        <v>430</v>
      </c>
      <c r="K26" s="23" t="inlineStr">
        <is>
          <t xml:space="preserve">The OTP field accepts six digits, filters out letters, and blocks a blank or short code. Pasting a longer value is limited to six digits rather than necessarily showing an error.</t>
        </is>
      </c>
      <c r="L26" s="24" t="s">
        <v>14</v>
      </c>
      <c r="M26" s="23" t="inlineStr">
        <is>
          <t xml:space="preserve">Source review only; not tested on a phone. Finding: partial.</t>
        </is>
      </c>
    </row>
    <row r="27" customFormat="false" ht="80.25" hidden="false" customHeight="true" outlineLevel="0" collapsed="false">
      <c r="A27" s="22" t="s">
        <v>634</v>
      </c>
      <c r="B27" s="17" t="s">
        <v>617</v>
      </c>
      <c r="C27" s="17" t="s">
        <v>635</v>
      </c>
      <c r="D27" s="17" t="s">
        <v>45</v>
      </c>
      <c r="E27" s="21" t="s">
        <v>506</v>
      </c>
      <c r="F27" s="17" t="s">
        <v>619</v>
      </c>
      <c r="G27" s="17" t="s">
        <v>636</v>
      </c>
      <c r="H27" s="17" t="s">
        <v>637</v>
      </c>
      <c r="I27" s="17" t="s">
        <v>638</v>
      </c>
      <c r="J27" s="21" t="s">
        <v>430</v>
      </c>
      <c r="K27" s="23" t="inlineStr">
        <is>
          <t xml:space="preserve">Invoiz codes last 10 minutes, so a code entered just after five minutes has not expired yet.</t>
        </is>
      </c>
      <c r="L27" s="24" t="s">
        <v>14</v>
      </c>
      <c r="M27" s="23" t="inlineStr">
        <is>
          <t xml:space="preserve">Source review only; not tested on a phone. Finding: gap.</t>
        </is>
      </c>
    </row>
    <row r="28" customFormat="false" ht="80.25" hidden="false" customHeight="true" outlineLevel="0" collapsed="false">
      <c r="A28" s="22" t="s">
        <v>639</v>
      </c>
      <c r="B28" s="17" t="s">
        <v>617</v>
      </c>
      <c r="C28" s="17" t="s">
        <v>640</v>
      </c>
      <c r="D28" s="17" t="s">
        <v>49</v>
      </c>
      <c r="E28" s="21" t="s">
        <v>527</v>
      </c>
      <c r="F28" s="17" t="s">
        <v>619</v>
      </c>
      <c r="G28" s="17" t="s">
        <v>641</v>
      </c>
      <c r="H28" s="17" t="s">
        <v>642</v>
      </c>
      <c r="I28" s="17" t="s">
        <v>643</v>
      </c>
      <c r="J28" s="21" t="s">
        <v>430</v>
      </c>
      <c r="K28" s="23" t="inlineStr">
        <is>
          <t xml:space="preserve">Resending replaces the previous unused code, and another resend is limited to once a minute. Actual email delivery still needs checking.</t>
        </is>
      </c>
      <c r="L28" s="24" t="s">
        <v>14</v>
      </c>
      <c r="M28" s="23" t="inlineStr">
        <is>
          <t xml:space="preserve">Source review only; not tested on a phone. Finding: supported.</t>
        </is>
      </c>
    </row>
    <row r="29" customFormat="false" ht="42" hidden="false" customHeight="true" outlineLevel="0" collapsed="false">
      <c r="A29" s="22" t="s">
        <v>644</v>
      </c>
      <c r="B29" s="17" t="s">
        <v>617</v>
      </c>
      <c r="C29" s="17" t="s">
        <v>645</v>
      </c>
      <c r="D29" s="17" t="s">
        <v>49</v>
      </c>
      <c r="E29" s="21" t="s">
        <v>506</v>
      </c>
      <c r="F29" s="17" t="s">
        <v>646</v>
      </c>
      <c r="G29" s="17" t="s">
        <v>647</v>
      </c>
      <c r="H29" s="17" t="s">
        <v>648</v>
      </c>
      <c r="I29" s="17" t="s">
        <v>649</v>
      </c>
      <c r="J29" s="21" t="s">
        <v>623</v>
      </c>
      <c r="K29" s="23" t="inlineStr">
        <is>
          <t xml:space="preserve">Login is refused until the email is verified, and the response tells the buyer to verify it first.</t>
        </is>
      </c>
      <c r="L29" s="24" t="s">
        <v>14</v>
      </c>
      <c r="M29" s="23" t="inlineStr">
        <is>
          <t xml:space="preserve">Source review only; not tested on a phone. Finding: supported.</t>
        </is>
      </c>
    </row>
    <row r="30" customFormat="false" ht="42" hidden="false" customHeight="true" outlineLevel="0" collapsed="false">
      <c r="A30" s="22" t="s">
        <v>650</v>
      </c>
      <c r="B30" s="17" t="s">
        <v>651</v>
      </c>
      <c r="C30" s="17" t="s">
        <v>652</v>
      </c>
      <c r="D30" s="17" t="s">
        <v>51</v>
      </c>
      <c r="E30" s="21" t="s">
        <v>506</v>
      </c>
      <c r="F30" s="17" t="s">
        <v>653</v>
      </c>
      <c r="G30" s="17" t="s">
        <v>654</v>
      </c>
      <c r="H30" s="17" t="s">
        <v>648</v>
      </c>
      <c r="I30" s="17" t="s">
        <v>655</v>
      </c>
      <c r="J30" s="21" t="s">
        <v>439</v>
      </c>
      <c r="K30" s="23" t="inlineStr">
        <is>
          <t xml:space="preserve">A newly verified buyer still cannot log in while approval is pending. The test needs an admin-approved account before expecting the home screen.</t>
        </is>
      </c>
      <c r="L30" s="24" t="s">
        <v>14</v>
      </c>
      <c r="M30" s="23" t="inlineStr">
        <is>
          <t xml:space="preserve">Source review only; not tested on a phone. Finding: gap.</t>
        </is>
      </c>
    </row>
    <row r="31" customFormat="false" ht="105.75" hidden="false" customHeight="true" outlineLevel="0" collapsed="false">
      <c r="A31" s="22" t="s">
        <v>656</v>
      </c>
      <c r="B31" s="17" t="s">
        <v>651</v>
      </c>
      <c r="C31" s="17" t="s">
        <v>657</v>
      </c>
      <c r="D31" s="17" t="s">
        <v>53</v>
      </c>
      <c r="E31" s="21" t="s">
        <v>506</v>
      </c>
      <c r="F31" s="17" t="s">
        <v>658</v>
      </c>
      <c r="G31" s="17" t="s">
        <v>659</v>
      </c>
      <c r="H31" s="17" t="s">
        <v>660</v>
      </c>
      <c r="I31" s="17" t="s">
        <v>661</v>
      </c>
      <c r="J31" s="21" t="s">
        <v>662</v>
      </c>
      <c r="K31" s="23" t="inlineStr">
        <is>
          <t xml:space="preserve">This project provides buyer screens and seller-application endpoints, rather than all the dashboards listed here. The listed role links and direct requests need separate access checks; login protection alone does not prove role isolation.</t>
        </is>
      </c>
      <c r="L31" s="24" t="s">
        <v>14</v>
      </c>
      <c r="M31" s="23" t="inlineStr">
        <is>
          <t xml:space="preserve">Source review only; not tested on a phone. Finding: needs access test.</t>
        </is>
      </c>
    </row>
    <row r="32" customFormat="false" ht="93" hidden="false" customHeight="true" outlineLevel="0" collapsed="false">
      <c r="A32" s="22" t="s">
        <v>663</v>
      </c>
      <c r="B32" s="17" t="s">
        <v>504</v>
      </c>
      <c r="C32" s="17" t="s">
        <v>664</v>
      </c>
      <c r="D32" s="17" t="s">
        <v>53</v>
      </c>
      <c r="E32" s="21" t="s">
        <v>527</v>
      </c>
      <c r="F32" s="17" t="s">
        <v>665</v>
      </c>
      <c r="G32" s="17" t="s">
        <v>666</v>
      </c>
      <c r="H32" s="17" t="s">
        <v>667</v>
      </c>
      <c r="I32" s="17" t="s">
        <v>668</v>
      </c>
      <c r="J32" s="21" t="s">
        <v>463</v>
      </c>
      <c r="K32" s="23" t="inlineStr">
        <is>
          <t xml:space="preserve">Email, phone, and OTP fields request suitable keyboards. Name capitalisation and password suggestion settings are not explicitly configured, so the full case needs a phone check.</t>
        </is>
      </c>
      <c r="L32" s="24" t="s">
        <v>14</v>
      </c>
      <c r="M32" s="23" t="inlineStr">
        <is>
          <t xml:space="preserve">Source review only; not tested on a phone. Finding: partial.</t>
        </is>
      </c>
    </row>
    <row r="33" customFormat="false" ht="67.5" hidden="false" customHeight="true" outlineLevel="0" collapsed="false">
      <c r="A33" s="22" t="s">
        <v>669</v>
      </c>
      <c r="B33" s="17" t="s">
        <v>504</v>
      </c>
      <c r="C33" s="17" t="s">
        <v>670</v>
      </c>
      <c r="D33" s="17" t="s">
        <v>53</v>
      </c>
      <c r="E33" s="21" t="s">
        <v>533</v>
      </c>
      <c r="F33" s="17" t="s">
        <v>665</v>
      </c>
      <c r="G33" s="17" t="s">
        <v>671</v>
      </c>
      <c r="H33" s="17" t="s">
        <v>672</v>
      </c>
      <c r="I33" s="17" t="s">
        <v>673</v>
      </c>
      <c r="J33" s="21" t="s">
        <v>674</v>
      </c>
      <c r="K33" s="23" t="inlineStr">
        <is>
          <t xml:space="preserve">The form scrolls and Android is set to resize around the keyboard. Visibility of every field, error, and Register button still needs checking on a phone.</t>
        </is>
      </c>
      <c r="L33" s="24" t="s">
        <v>14</v>
      </c>
      <c r="M33" s="23" t="inlineStr">
        <is>
          <t xml:space="preserve">Source review only; not tested on a phone. Finding: device check.</t>
        </is>
      </c>
    </row>
    <row r="34" customFormat="false" ht="80.25" hidden="false" customHeight="true" outlineLevel="0" collapsed="false">
      <c r="A34" s="22" t="s">
        <v>675</v>
      </c>
      <c r="B34" s="17" t="s">
        <v>504</v>
      </c>
      <c r="C34" s="17" t="s">
        <v>676</v>
      </c>
      <c r="D34" s="17" t="s">
        <v>53</v>
      </c>
      <c r="E34" s="21" t="s">
        <v>527</v>
      </c>
      <c r="F34" s="17" t="s">
        <v>665</v>
      </c>
      <c r="G34" s="17" t="s">
        <v>677</v>
      </c>
      <c r="H34" s="17" t="s">
        <v>678</v>
      </c>
      <c r="I34" s="17" t="s">
        <v>679</v>
      </c>
      <c r="J34" s="21" t="s">
        <v>469</v>
      </c>
      <c r="K34" s="23" t="inlineStr">
        <is>
          <t xml:space="preserve">Typed values are held while the registration screen stays alive. Returning after a call, lock, or app switch needs testing, especially if the phone closes the app in the background.</t>
        </is>
      </c>
      <c r="L34" s="24" t="s">
        <v>14</v>
      </c>
      <c r="M34" s="23" t="inlineStr">
        <is>
          <t xml:space="preserve">Source review only; not tested on a phone. Finding: device check.</t>
        </is>
      </c>
    </row>
    <row r="35" customFormat="false" ht="54.75" hidden="false" customHeight="true" outlineLevel="0" collapsed="false">
      <c r="A35" s="22" t="s">
        <v>680</v>
      </c>
      <c r="B35" s="17" t="s">
        <v>504</v>
      </c>
      <c r="C35" s="17" t="s">
        <v>681</v>
      </c>
      <c r="D35" s="17" t="s">
        <v>53</v>
      </c>
      <c r="E35" s="21" t="s">
        <v>533</v>
      </c>
      <c r="F35" s="17" t="s">
        <v>665</v>
      </c>
      <c r="G35" s="17" t="s">
        <v>682</v>
      </c>
      <c r="H35" s="17" t="s">
        <v>683</v>
      </c>
      <c r="I35" s="17" t="s">
        <v>684</v>
      </c>
      <c r="J35" s="21" t="s">
        <v>469</v>
      </c>
      <c r="K35" s="23" t="inlineStr">
        <is>
          <t xml:space="preserve">No portrait-only lock is declared, and form values are kept in screen state. Rotation and error-message layout still need checking on a phone.</t>
        </is>
      </c>
      <c r="L35" s="24" t="s">
        <v>14</v>
      </c>
      <c r="M35" s="23" t="inlineStr">
        <is>
          <t xml:space="preserve">Source review only; not tested on a phone. Finding: device check.</t>
        </is>
      </c>
    </row>
    <row r="36" customFormat="false" ht="80.25" hidden="false" customHeight="true" outlineLevel="0" collapsed="false">
      <c r="A36" s="22" t="s">
        <v>685</v>
      </c>
      <c r="B36" s="17" t="s">
        <v>504</v>
      </c>
      <c r="C36" s="17" t="s">
        <v>686</v>
      </c>
      <c r="D36" s="17" t="s">
        <v>43</v>
      </c>
      <c r="E36" s="21" t="s">
        <v>506</v>
      </c>
      <c r="F36" s="17" t="s">
        <v>687</v>
      </c>
      <c r="G36" s="17" t="s">
        <v>688</v>
      </c>
      <c r="H36" s="17" t="s">
        <v>689</v>
      </c>
      <c r="I36" s="17" t="s">
        <v>690</v>
      </c>
      <c r="J36" s="21" t="s">
        <v>691</v>
      </c>
      <c r="K36" s="23" t="inlineStr">
        <is>
          <t xml:space="preserve">A failed registration request shows a connection message and leaves the form values available. Reconnecting and confirming a single saved account still needs a live test.</t>
        </is>
      </c>
      <c r="L36" s="24" t="s">
        <v>14</v>
      </c>
      <c r="M36" s="23" t="inlineStr">
        <is>
          <t xml:space="preserve">Source review only; not tested on a phone. Finding: partial.</t>
        </is>
      </c>
    </row>
    <row r="37" customFormat="false" ht="93" hidden="false" customHeight="true" outlineLevel="0" collapsed="false">
      <c r="A37" s="22" t="s">
        <v>692</v>
      </c>
      <c r="B37" s="17" t="s">
        <v>504</v>
      </c>
      <c r="C37" s="17" t="s">
        <v>693</v>
      </c>
      <c r="D37" s="17" t="s">
        <v>53</v>
      </c>
      <c r="E37" s="21" t="s">
        <v>506</v>
      </c>
      <c r="F37" s="17" t="s">
        <v>687</v>
      </c>
      <c r="G37" s="17" t="s">
        <v>694</v>
      </c>
      <c r="H37" s="17" t="s">
        <v>695</v>
      </c>
      <c r="I37" s="17" t="s">
        <v>696</v>
      </c>
      <c r="J37" s="21" t="s">
        <v>691</v>
      </c>
      <c r="K37" s="23" t="inlineStr">
        <is>
          <t xml:space="preserve">A connection error is handled, but there is no recovery step to check whether the first registration already succeeded. A dropped response could leave the buyer needing to log in to continue verification.</t>
        </is>
      </c>
      <c r="L37" s="24" t="s">
        <v>14</v>
      </c>
      <c r="M37" s="23" t="inlineStr">
        <is>
          <t xml:space="preserve">Source review only; not tested on a phone. Finding: needs live check.</t>
        </is>
      </c>
    </row>
    <row r="38" customFormat="false" ht="80.25" hidden="false" customHeight="true" outlineLevel="0" collapsed="false">
      <c r="A38" s="22" t="s">
        <v>697</v>
      </c>
      <c r="B38" s="17" t="s">
        <v>617</v>
      </c>
      <c r="C38" s="17" t="s">
        <v>698</v>
      </c>
      <c r="D38" s="17" t="s">
        <v>51</v>
      </c>
      <c r="E38" s="21" t="s">
        <v>527</v>
      </c>
      <c r="F38" s="17" t="s">
        <v>699</v>
      </c>
      <c r="G38" s="17" t="s">
        <v>700</v>
      </c>
      <c r="H38" s="17" t="s">
        <v>701</v>
      </c>
      <c r="I38" s="17" t="s">
        <v>702</v>
      </c>
      <c r="J38" s="21" t="s">
        <v>703</v>
      </c>
      <c r="K38" s="23" t="inlineStr">
        <is>
          <t xml:space="preserve">The OTP uses one field that accepts pasted digits. A valid code verifies the email, but the account still needs admin approval.</t>
        </is>
      </c>
      <c r="L38" s="24" t="s">
        <v>14</v>
      </c>
      <c r="M38" s="23" t="inlineStr">
        <is>
          <t xml:space="preserve">Source review only; not tested on a phone. Finding: partial.</t>
        </is>
      </c>
    </row>
    <row r="39" customFormat="false" ht="93" hidden="false" customHeight="true" outlineLevel="0" collapsed="false">
      <c r="A39" s="22" t="s">
        <v>704</v>
      </c>
      <c r="B39" s="17" t="s">
        <v>617</v>
      </c>
      <c r="C39" s="17" t="s">
        <v>705</v>
      </c>
      <c r="D39" s="17" t="s">
        <v>45</v>
      </c>
      <c r="E39" s="21" t="s">
        <v>506</v>
      </c>
      <c r="F39" s="17" t="s">
        <v>706</v>
      </c>
      <c r="G39" s="17" t="s">
        <v>707</v>
      </c>
      <c r="H39" s="17" t="s">
        <v>708</v>
      </c>
      <c r="I39" s="17" t="s">
        <v>709</v>
      </c>
      <c r="J39" s="21" t="s">
        <v>710</v>
      </c>
      <c r="K39" s="23" t="inlineStr">
        <is>
          <t xml:space="preserve">The OTP screen has a resend cooldown, rather than a code-expiry countdown. Codes expire after 10 minutes, so the five-minute behaviour in this case does not match Invoiz.</t>
        </is>
      </c>
      <c r="L39" s="24" t="s">
        <v>14</v>
      </c>
      <c r="M39" s="23" t="inlineStr">
        <is>
          <t xml:space="preserve">Source review only; not tested on a phone. Finding: gap.</t>
        </is>
      </c>
    </row>
    <row r="40" customFormat="false" ht="93" hidden="false" customHeight="true" outlineLevel="0" collapsed="false">
      <c r="A40" s="22" t="s">
        <v>711</v>
      </c>
      <c r="B40" s="17" t="s">
        <v>617</v>
      </c>
      <c r="C40" s="17" t="s">
        <v>712</v>
      </c>
      <c r="D40" s="17" t="s">
        <v>49</v>
      </c>
      <c r="E40" s="21" t="s">
        <v>527</v>
      </c>
      <c r="F40" s="17" t="s">
        <v>665</v>
      </c>
      <c r="G40" s="17" t="s">
        <v>713</v>
      </c>
      <c r="H40" s="17" t="s">
        <v>714</v>
      </c>
      <c r="I40" s="17" t="s">
        <v>715</v>
      </c>
      <c r="J40" s="21" t="s">
        <v>716</v>
      </c>
      <c r="K40" s="23" t="inlineStr">
        <is>
          <t xml:space="preserve">Leaving the registration form does not ask to discard typed information. Login can send an unverified buyer back to email verification, but Back behaviour still needs a phone check.</t>
        </is>
      </c>
      <c r="L40" s="24" t="s">
        <v>14</v>
      </c>
      <c r="M40" s="23" t="inlineStr">
        <is>
          <t xml:space="preserve">Source review only; not tested on a phone. Finding: gap.</t>
        </is>
      </c>
    </row>
    <row r="41" customFormat="false" ht="54.75" hidden="false" customHeight="true" outlineLevel="0" collapsed="false">
      <c r="A41" s="22" t="s">
        <v>717</v>
      </c>
      <c r="B41" s="17" t="s">
        <v>504</v>
      </c>
      <c r="C41" s="17" t="s">
        <v>718</v>
      </c>
      <c r="D41" s="17" t="s">
        <v>53</v>
      </c>
      <c r="E41" s="21" t="s">
        <v>533</v>
      </c>
      <c r="F41" s="17" t="s">
        <v>665</v>
      </c>
      <c r="G41" s="17" t="s">
        <v>719</v>
      </c>
      <c r="H41" s="17" t="s">
        <v>517</v>
      </c>
      <c r="I41" s="17" t="s">
        <v>720</v>
      </c>
      <c r="J41" s="21" t="s">
        <v>493</v>
      </c>
      <c r="K41" s="23" t="inlineStr">
        <is>
          <t xml:space="preserve">The form is scrollable, but that alone does not confirm readability at the largest font size. A small-screen phone check is still needed.</t>
        </is>
      </c>
      <c r="L41" s="24" t="s">
        <v>14</v>
      </c>
      <c r="M41" s="23" t="inlineStr">
        <is>
          <t xml:space="preserve">Source review only; not tested on a phone. Finding: device check.</t>
        </is>
      </c>
    </row>
    <row r="42" customFormat="false" ht="54.75" hidden="false" customHeight="true" outlineLevel="0" collapsed="false">
      <c r="A42" s="22" t="s">
        <v>721</v>
      </c>
      <c r="B42" s="17" t="s">
        <v>651</v>
      </c>
      <c r="C42" s="17" t="s">
        <v>722</v>
      </c>
      <c r="D42" s="17" t="s">
        <v>49</v>
      </c>
      <c r="E42" s="21" t="s">
        <v>527</v>
      </c>
      <c r="F42" s="17" t="s">
        <v>723</v>
      </c>
      <c r="G42" s="17" t="s">
        <v>724</v>
      </c>
      <c r="H42" s="17" t="s">
        <v>648</v>
      </c>
      <c r="I42" s="17" t="s">
        <v>725</v>
      </c>
      <c r="J42" s="21" t="s">
        <v>484</v>
      </c>
      <c r="K42" s="23" t="inlineStr">
        <is>
          <t xml:space="preserve">Invoiz saves the login session and reloads it when the app starts. Closing the app and restarting a phone still need testing to confirm the correct buyer stays signed in.</t>
        </is>
      </c>
      <c r="L42" s="24" t="s">
        <v>14</v>
      </c>
      <c r="M42" s="23" t="inlineStr">
        <is>
          <t xml:space="preserve">Source review only; not tested on a phone. Finding: needs live check.</t>
        </is>
      </c>
    </row>
    <row r="43" customFormat="false" ht="54.75" hidden="false" customHeight="true" outlineLevel="0" collapsed="false">
      <c r="A43" s="22" t="s">
        <v>726</v>
      </c>
      <c r="B43" s="17" t="s">
        <v>651</v>
      </c>
      <c r="C43" s="17" t="s">
        <v>727</v>
      </c>
      <c r="D43" s="17" t="s">
        <v>49</v>
      </c>
      <c r="E43" s="21" t="s">
        <v>506</v>
      </c>
      <c r="F43" s="17" t="s">
        <v>723</v>
      </c>
      <c r="G43" s="17" t="s">
        <v>728</v>
      </c>
      <c r="H43" s="17" t="s">
        <v>648</v>
      </c>
      <c r="I43" s="17" t="s">
        <v>729</v>
      </c>
      <c r="J43" s="21" t="s">
        <v>730</v>
      </c>
      <c r="K43" s="23" t="inlineStr">
        <is>
          <t xml:space="preserve">Logout removes the saved session and clears the navigation stack to login. Pressing Back and reopening the app still need a phone check.</t>
        </is>
      </c>
      <c r="L43" s="24" t="s">
        <v>14</v>
      </c>
      <c r="M43" s="23" t="inlineStr">
        <is>
          <t xml:space="preserve">Source review only; not tested on a phone. Finding: needs live check.</t>
        </is>
      </c>
    </row>
  </sheetData>
  <autoFilter ref="A1:M43"/>
  <conditionalFormatting sqref="L2:L31">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Choose Pass, Fail, Blocked or Not Run." errorStyle="stop" errorTitle="Invalid status" operator="between" showDropDown="false" showErrorMessage="false" showInputMessage="false" sqref="L2:L31"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2026-10-07T02:30:49Z</dcterms:created>
  <dc:creator>openpyxl</dc:creator>
  <dc:description/>
  <dc:language>en-US</dc:language>
  <cp:lastModifiedBy/>
  <dcterms:modified xsi:type="dcterms:W3CDTF">2026-10-21T00:42:58Z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
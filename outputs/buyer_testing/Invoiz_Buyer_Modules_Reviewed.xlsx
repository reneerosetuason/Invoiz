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0.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Test Data" sheetId="3" state="visible" r:id="rId5"/>
    <sheet name="Test Files" sheetId="4" state="visible" r:id="rId6"/>
    <sheet name="B1 Account" sheetId="5" state="visible" r:id="rId7"/>
    <sheet name="B2 Address Book" sheetId="6" state="visible" r:id="rId8"/>
    <sheet name="B3 Browse &amp; Search" sheetId="7" state="visible" r:id="rId9"/>
    <sheet name="B4 Product Detail" sheetId="8" state="visible" r:id="rId10"/>
    <sheet name="B5 Wishlist &amp; Follow" sheetId="9" state="visible" r:id="rId11"/>
    <sheet name="B6 Cart" sheetId="10" state="visible" r:id="rId12"/>
    <sheet name="B7 Vouchers" sheetId="11" state="visible" r:id="rId13"/>
    <sheet name="B8 Checkout" sheetId="12" state="visible" r:id="rId14"/>
    <sheet name="B9 Payment" sheetId="13" state="visible" r:id="rId15"/>
    <sheet name="B10 Order Tracking" sheetId="14" state="visible" r:id="rId16"/>
    <sheet name="B11 Cancellation" sheetId="15" state="visible" r:id="rId17"/>
    <sheet name="B12 Return &amp; Refund" sheetId="16" state="visible" r:id="rId18"/>
    <sheet name="B13 Ratings &amp; Reviews" sheetId="17" state="visible" r:id="rId19"/>
    <sheet name="B14 Chat &amp; Notifs" sheetId="18" state="visible" r:id="rId20"/>
  </sheets>
  <definedNames>
    <definedName function="false" hidden="true" localSheetId="4" name="_xlnm._FilterDatabase" vbProcedure="false">'B1 Account'!$A$1:$M$13</definedName>
    <definedName function="false" hidden="true" localSheetId="13" name="_xlnm._FilterDatabase" vbProcedure="false">'B10 Order Tracking'!$A$1:$M$8</definedName>
    <definedName function="false" hidden="true" localSheetId="14" name="_xlnm._FilterDatabase" vbProcedure="false">'B11 Cancellation'!$A$1:$M$7</definedName>
    <definedName function="false" hidden="true" localSheetId="15" name="_xlnm._FilterDatabase" vbProcedure="false">'B12 Return &amp; Refund'!$A$1:$M$7</definedName>
    <definedName function="false" hidden="true" localSheetId="16" name="_xlnm._FilterDatabase" vbProcedure="false">'B13 Ratings &amp; Reviews'!$A$1:$M$8</definedName>
    <definedName function="false" hidden="true" localSheetId="17" name="_xlnm._FilterDatabase" vbProcedure="false">'B14 Chat &amp; Notifs'!$A$1:$M$9</definedName>
    <definedName function="false" hidden="true" localSheetId="5" name="_xlnm._FilterDatabase" vbProcedure="false">'B2 Address Book'!$A$1:$M$12</definedName>
    <definedName function="false" hidden="true" localSheetId="6" name="_xlnm._FilterDatabase" vbProcedure="false">'B3 Browse &amp; Search'!$A$1:$M$14</definedName>
    <definedName function="false" hidden="true" localSheetId="7" name="_xlnm._FilterDatabase" vbProcedure="false">'B4 Product Detail'!$A$1:$M$11</definedName>
    <definedName function="false" hidden="true" localSheetId="8" name="_xlnm._FilterDatabase" vbProcedure="false">'B5 Wishlist &amp; Follow'!$A$1:$M$6</definedName>
    <definedName function="false" hidden="true" localSheetId="9" name="_xlnm._FilterDatabase" vbProcedure="false">'B6 Cart'!$A$1:$M$13</definedName>
    <definedName function="false" hidden="true" localSheetId="10" name="_xlnm._FilterDatabase" vbProcedure="false">'B7 Vouchers'!$A$1:$M$13</definedName>
    <definedName function="false" hidden="true" localSheetId="11" name="_xlnm._FilterDatabase" vbProcedure="false">'B8 Checkout'!$A$1:$M$14</definedName>
    <definedName function="false" hidden="true" localSheetId="12" name="_xlnm._FilterDatabase" vbProcedure="false">'B9 Payment'!$A$1:$M$10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<sst xmlns="http://schemas.openxmlformats.org/spreadsheetml/2006/main" count="2258" uniqueCount="1336">
  <si>
    <t xml:space="preserve">Black-Box Test Cases: Buyer Modules (B1–B14) (Mobile App)</t>
  </si>
  <si>
    <t xml:space="preserve">Multi-role e-commerce and logistics mobile app (Buyer, Seller, Logistics, Rider, Courier)</t>
  </si>
  <si>
    <t xml:space="preserve">Test run details</t>
  </si>
  <si>
    <t xml:space="preserve">System under test</t>
  </si>
  <si>
    <t xml:space="preserve">App version / build number</t>
  </si>
  <si>
    <t xml:space="preserve">Test device (model, OS version) and network (Wi-Fi / mobile data)</t>
  </si>
  <si>
    <t xml:space="preserve">Tester</t>
  </si>
  <si>
    <t xml:space="preserve">Date tested</t>
  </si>
  <si>
    <t xml:space="preserve">Results by module</t>
  </si>
  <si>
    <t xml:space="preserve">Module (sheet)</t>
  </si>
  <si>
    <t xml:space="preserve">Total test cases</t>
  </si>
  <si>
    <t xml:space="preserve">Pass</t>
  </si>
  <si>
    <t xml:space="preserve">Fail</t>
  </si>
  <si>
    <t xml:space="preserve">Blocked</t>
  </si>
  <si>
    <t xml:space="preserve">Not Run</t>
  </si>
  <si>
    <t xml:space="preserve">Pass rate (Pass / Total)</t>
  </si>
  <si>
    <t xml:space="preserve">B1 Account</t>
  </si>
  <si>
    <t xml:space="preserve">B2 Address Book</t>
  </si>
  <si>
    <t xml:space="preserve">B3 Browse &amp; Search</t>
  </si>
  <si>
    <t xml:space="preserve">B4 Product Detail</t>
  </si>
  <si>
    <t xml:space="preserve">B5 Wishlist &amp; Follow</t>
  </si>
  <si>
    <t xml:space="preserve">B6 Cart</t>
  </si>
  <si>
    <t xml:space="preserve">B7 Vouchers</t>
  </si>
  <si>
    <t xml:space="preserve">B8 Checkout</t>
  </si>
  <si>
    <t xml:space="preserve">B9 Payment</t>
  </si>
  <si>
    <t xml:space="preserve">B10 Order Tracking</t>
  </si>
  <si>
    <t xml:space="preserve">B11 Cancellation</t>
  </si>
  <si>
    <t xml:space="preserve">B12 Return &amp; Refund</t>
  </si>
  <si>
    <t xml:space="preserve">B13 Ratings &amp; Reviews</t>
  </si>
  <si>
    <t xml:space="preserve">B14 Chat &amp; Notifs</t>
  </si>
  <si>
    <t xml:space="preserve">Total</t>
  </si>
  <si>
    <t xml:space="preserve">How to use this workbook</t>
  </si>
  <si>
    <t xml:space="preserve">1. Run after the Seller test set, so the products, vouchers and sales on the Test Data sheet exist.</t>
  </si>
  <si>
    <t xml:space="preserve">2. Strict pass rule: a case passes only if EVERY point in its Expected Result is true. If any point is false, or something happens that the Expected Result does not mention (an extra record, a stock change, a wrong notification, an app crash or freeze, a server error), mark it Fail.</t>
  </si>
  <si>
    <t xml:space="preserve">3. Check side effects, not just the screen: after each case, confirm the stock, order status, voucher usage, balances and the other roles' views named in the Expected Result. 'Nothing is saved' means the record is missing after a pull-to-pull-to-refresh, or after closing and reopening the screen.</t>
  </si>
  <si>
    <t xml:space="preserve">4. Error messages must appear next to the field (or at the top of the form) and say what is wrong and how to fix it. A generic 'Something went wrong', a blank screen, an app crash, or a 500 error is a Fail even when the action was correctly blocked.</t>
  </si>
  <si>
    <t xml:space="preserve">5. For 'Error Guessing' security cases, a correct block shows a 403 screen, a 'not found' screen or a redirect, and shows NO data from the other user's record anywhere on the screen.</t>
  </si>
  <si>
    <t xml:space="preserve">6. Read the Assumptions sheet first. Rules A2 to A8 are the seven rules the module plan says must be agreed before testing; adjust any case whose rule differs from your system.</t>
  </si>
  <si>
    <t xml:space="preserve">7. Seed the accounts, products, vouchers and shipping rates on the Test Data sheet before running the cases. Emails use example.com; read them from a mail catcher such as Mailtrap.</t>
  </si>
  <si>
    <t xml:space="preserve">8. Test Case IDs follow &lt;ROLE&gt;-&lt;MODULE&gt;-&lt;NNN&gt;. Each module has positive, negative and boundary cases.</t>
  </si>
  <si>
    <t xml:space="preserve">9. Fill in only the yellow cells: Actual Result, Status and Remarks. Pick the Status from the dropdown (Pass, Fail, Blocked, Not Run).</t>
  </si>
  <si>
    <t xml:space="preserve">10. Pass = actual matches expected. Fail = it does not (describe what happened and add a screenshot or bug number in Remarks). Blocked = the case could not be run, for example because an earlier case failed.</t>
  </si>
  <si>
    <t xml:space="preserve">11. The Results by module table above updates automatically from the Status column.</t>
  </si>
  <si>
    <t xml:space="preserve">Black-box techniques used</t>
  </si>
  <si>
    <t xml:space="preserve">Equivalence Partitioning</t>
  </si>
  <si>
    <t xml:space="preserve">Inputs are grouped into valid and invalid classes, and one value from each class is tested.</t>
  </si>
  <si>
    <t xml:space="preserve">Boundary Value Analysis</t>
  </si>
  <si>
    <t xml:space="preserve">Values at and just beyond a limit are tested, for example ₱0.99, ₱1.00 and ₱1.01 for a ₱1.00 minimum price.</t>
  </si>
  <si>
    <t xml:space="preserve">Decision Table</t>
  </si>
  <si>
    <t xml:space="preserve">Combinations of conditions are tested, for example which vouchers can stack.</t>
  </si>
  <si>
    <t xml:space="preserve">State Transition</t>
  </si>
  <si>
    <t xml:space="preserve">Changes in order or shipment status are tested, including transitions that must be blocked.</t>
  </si>
  <si>
    <t xml:space="preserve">Use Case Testing</t>
  </si>
  <si>
    <t xml:space="preserve">A complete user flow is tested from start to finish with valid data.</t>
  </si>
  <si>
    <t xml:space="preserve">Error Guessing</t>
  </si>
  <si>
    <t xml:space="preserve">Likely mistakes are tested based on experience, for example double-tapping Place Order or changing an ID in a deep link or API request.</t>
  </si>
  <si>
    <t xml:space="preserve">Mobile app testing notes</t>
  </si>
  <si>
    <t xml:space="preserve">1. Install the build under test on at least one Android phone, and on an iPhone if your system supports iOS. Write the phone model, OS version and app build number in the Test run details above, and test on the same build throughout.</t>
  </si>
  <si>
    <t xml:space="preserve">2. Copy every file on the Test Files sheet to the phone before testing: documents to the Files / Downloads folder and images to Photos (gallery).</t>
  </si>
  <si>
    <t xml:space="preserve">3. Rows whose Test Scenario starts with [Mobile] are new mobile-only cases (keyboard, interruptions, no internet, permissions, camera, Back button, push notifications, deep links). Filter the Test Scenario column on '[Mobile]' to run them as a group. Assumptions M1 to M14 describe the rules they check.</t>
  </si>
  <si>
    <t xml:space="preserve">4. 'Tap' is a single tap and 'double-tap' is two quick taps on the same button. 'Pull to refresh' means dragging the screen down from the top; if a screen has none, go back and reopen it. Use Airplane mode for the no-internet cases and turn it off before the next case.</t>
  </si>
  <si>
    <t xml:space="preserve">5. Cases that send or capture an API request need a proxy tool on the phone (Assumption M11). If your group cannot capture app traffic, mark those cases Blocked and write 'no proxy' in Remarks.</t>
  </si>
  <si>
    <t xml:space="preserve">6. Evidence: use the phone's screenshot or built-in screen recorder and name each file by case ID (for example buy-010.png or buy-031.mp4). Screen recordings are best for timing, interruption and no-internet cases.</t>
  </si>
  <si>
    <t xml:space="preserve">Assumptions used in the test cases</t>
  </si>
  <si>
    <t xml:space="preserve">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 A38 to A41 cover couriers and hub-to-hub (linehaul) trips. M1 to M14 are the mobile-app rules used by the [Mobile] cases.</t>
  </si>
  <si>
    <t xml:space="preserve">Ref</t>
  </si>
  <si>
    <t xml:space="preserve">Topic</t>
  </si>
  <si>
    <t xml:space="preserve">Assumed rule</t>
  </si>
  <si>
    <t xml:space="preserve">Your system's actual rule (fill in if different)</t>
  </si>
  <si>
    <t xml:space="preserve">A1</t>
  </si>
  <si>
    <t xml:space="preserve">Test accounts</t>
  </si>
  <si>
    <t xml:space="preserve">The accounts on the Test Data sheet already exist and are Active or Approved (they are the accounts created in the Account Creation test set). Seller 3 is Pending Approval and Rider 3 and Courier 3 are Suspended, for the negative cases. Reset the seeded products, stock and vouchers to their Test Data values before each module.</t>
  </si>
  <si>
    <t xml:space="preserve">A2</t>
  </si>
  <si>
    <t xml:space="preserve">Voucher stacking (rule 1)</t>
  </si>
  <si>
    <t xml:space="preserve">Per order: at most 1 store voucher per store, plus 1 platform voucher, plus 1 shipping voucher. Selecting a second voucher of the same type replaces the first; it never stacks.</t>
  </si>
  <si>
    <t xml:space="preserve">A3</t>
  </si>
  <si>
    <t xml:space="preserve">Stock deduction (rule 2)</t>
  </si>
  <si>
    <t xml:space="preserve">Stock is deducted when the order is placed, for every payment method. It is restored when the order is cancelled (by buyer, seller or auto-cancel). For a Return-to-Sender or returned parcel, stock is restored when the seller confirms receipt. Stock can never go below 0.</t>
  </si>
  <si>
    <t xml:space="preserve">A4</t>
  </si>
  <si>
    <t xml:space="preserve">Sale + voucher (rule 3)</t>
  </si>
  <si>
    <t xml:space="preserve">Vouchers apply to items already on sale. Minimum spend is checked against the price actually paid (the sale or flash price), not the original price.</t>
  </si>
  <si>
    <t xml:space="preserve">A5</t>
  </si>
  <si>
    <t xml:space="preserve">Flash sales (rule 4)</t>
  </si>
  <si>
    <t xml:space="preserve">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</si>
  <si>
    <t xml:space="preserve">A6</t>
  </si>
  <si>
    <t xml:space="preserve">Cancellation window and auto-cancel (rule 5)</t>
  </si>
  <si>
    <t xml:space="preserve">A buyer can cancel until the seller marks the order Ready for Pickup; after that there is no cancel option at all. A seller can cancel until the parcel is Picked Up. Unpaid e-wallet or card orders auto-cancel exactly 1 hour after the order is placed.</t>
  </si>
  <si>
    <t xml:space="preserve">A7</t>
  </si>
  <si>
    <t xml:space="preserve">Variation limits and category depth (rule 6)</t>
  </si>
  <si>
    <t xml:space="preserve">A product has at most 2 variation types, with 1 to 20 options per type. Store categories have at most 2 levels (category and subcategory). A product can belong to up to 3 store categories.</t>
  </si>
  <si>
    <t xml:space="preserve">A8</t>
  </si>
  <si>
    <t xml:space="preserve">Voucher funding (rule 7)</t>
  </si>
  <si>
    <t xml:space="preserve">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</si>
  <si>
    <t xml:space="preserve">A9</t>
  </si>
  <si>
    <t xml:space="preserve">Platform commission and rounding</t>
  </si>
  <si>
    <t xml:space="preserve">Commission is 5% of the item subtotal after seller-funded discounts. Shipping fees are not part of the seller's gross sales. All money is rounded to 2 decimals (half up) per order.</t>
  </si>
  <si>
    <t xml:space="preserve">A10</t>
  </si>
  <si>
    <t xml:space="preserve">Order status flow</t>
  </si>
  <si>
    <t xml:space="preserve">Buyer tabs: To Pay → To Ship → To Receive → Completed (or Cancelled, Return/Refund). Seller: New → Accepted → Packed → Ready for Pickup. Shipment: Ready for Pickup → Assigned → Picked Up → At Hub → (In Transit → At Hub at the destination hub, when the address belongs to another hub; see A38) → Out for Delivery → Delivered (or Failed Delivery → Return to Sender → Returned to Sender). No status can be skipped or moved backwards except by a logged Logistics override.</t>
  </si>
  <si>
    <t xml:space="preserve">A11</t>
  </si>
  <si>
    <t xml:space="preserve">Order completion and return window</t>
  </si>
  <si>
    <t xml:space="preserve">The buyer taps Order Received, or the order completes automatically 7 days (168 hours) after Delivered. A return or refund can be requested only after Delivered, within those 7 days and before the order is Completed.</t>
  </si>
  <si>
    <t xml:space="preserve">A12</t>
  </si>
  <si>
    <t xml:space="preserve">Reviews</t>
  </si>
  <si>
    <t xml:space="preserve">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</si>
  <si>
    <t xml:space="preserve">A13</t>
  </si>
  <si>
    <t xml:space="preserve">Failed delivery</t>
  </si>
  <si>
    <t xml:space="preserve">Up to 3 delivery attempts. A reason from the list (Buyer not home, Wrong address, Refused) is required for every failed attempt. After the 3rd failed attempt, or immediately when the reason is Refused, the parcel is marked Return to Sender.</t>
  </si>
  <si>
    <t xml:space="preserve">A14</t>
  </si>
  <si>
    <t xml:space="preserve">Rider job rules</t>
  </si>
  <si>
    <t xml:space="preserve">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</si>
  <si>
    <t xml:space="preserve">A15</t>
  </si>
  <si>
    <t xml:space="preserve">Seller earnings and payout</t>
  </si>
  <si>
    <t xml:space="preserve">Earnings move from Pending to Available only when an order is Completed. Cancelled, returned and refunded amounts are excluded. A payout request must be at least ₱100.00 and no more than the Available balance, and only one payout request can be pending at a time.</t>
  </si>
  <si>
    <t xml:space="preserve">A16</t>
  </si>
  <si>
    <t xml:space="preserve">Image upload rule</t>
  </si>
  <si>
    <t xml:space="preserve">Product, logo, banner, review, return, chat and proof-of-delivery images: JPG or PNG only (checked by file content, not just the extension), maximum 5 MB each. A product has 1 to 9 images.</t>
  </si>
  <si>
    <t xml:space="preserve">A17</t>
  </si>
  <si>
    <t xml:space="preserve">Price and quantity rule</t>
  </si>
  <si>
    <t xml:space="preserve">Prices range from ₱1.00 to ₱1,000,000.00 with up to 2 decimal places. Stock and quantities are whole numbers from 0 to 99,999.</t>
  </si>
  <si>
    <t xml:space="preserve">A18</t>
  </si>
  <si>
    <t xml:space="preserve">Store vacation and verification</t>
  </si>
  <si>
    <t xml:space="preserve">In vacation mode, products stay visible but Add to Cart and Buy Now are disabled with an 'On vacation' label, and checkout of items already in carts is blocked. A seller that is not Approved can save products only as drafts and cannot publish.</t>
  </si>
  <si>
    <t xml:space="preserve">A19</t>
  </si>
  <si>
    <t xml:space="preserve">Deleting categories and products</t>
  </si>
  <si>
    <t xml:space="preserve">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</si>
  <si>
    <t xml:space="preserve">A20</t>
  </si>
  <si>
    <t xml:space="preserve">Shipping fee</t>
  </si>
  <si>
    <t xml:space="preserve">Shipping is charged per store, using the rate table on the Test Data sheet. Chargeable weight is the total actual weight of that store's items in the order, rounded up to the next whole kg. Rate changes apply only to checkouts started after the change.</t>
  </si>
  <si>
    <t xml:space="preserve">A21</t>
  </si>
  <si>
    <t xml:space="preserve">Voucher return on cancellation</t>
  </si>
  <si>
    <t xml:space="preserve">A voucher used on a cancelled order is returned to the buyer's wallet if it has not yet expired, and its usage count is reduced by 1. A voucher is not returned for a refunded (returned) order.</t>
  </si>
  <si>
    <t xml:space="preserve">A22</t>
  </si>
  <si>
    <t xml:space="preserve">Session and access</t>
  </si>
  <si>
    <t xml:space="preserve">Each role can open only its own screens; other roles get 403, an access-denied screen or a redirect, for both deep links and direct API requests. Users can open only their own records (orders, products, shipments, riders, couriers, trips). A session expires after 30 minutes of inactivity.</t>
  </si>
  <si>
    <t xml:space="preserve">A23</t>
  </si>
  <si>
    <t xml:space="preserve">Notifications</t>
  </si>
  <si>
    <t xml:space="preserve">Every order or shipment status change sends an in-app notification and a push notification to each role involved, and to no one else. Emails use example.com and are read from the mail catcher.</t>
  </si>
  <si>
    <t xml:space="preserve">A24</t>
  </si>
  <si>
    <t xml:space="preserve">COD remittance</t>
  </si>
  <si>
    <t xml:space="preserve">Riders remit the full COD collected to their logistics company by the end of the day. Only the logistics company can confirm a remittance. Any difference between collected and remitted COD is flagged on the reconciliation screen.</t>
  </si>
  <si>
    <t xml:space="preserve">A25</t>
  </si>
  <si>
    <t xml:space="preserve">Text field limits</t>
  </si>
  <si>
    <t xml:space="preserve">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</si>
  <si>
    <t xml:space="preserve">A26</t>
  </si>
  <si>
    <t xml:space="preserve">Voucher code rule</t>
  </si>
  <si>
    <t xml:space="preserve">4 to 12 letters and digits, no spaces or symbols, saved in uppercase. Codes are unique across the whole platform. Buyers can type the code in any case.</t>
  </si>
  <si>
    <t xml:space="preserve">A27</t>
  </si>
  <si>
    <t xml:space="preserve">Editing vouchers after claim</t>
  </si>
  <si>
    <t xml:space="preserve">Once any buyer has claimed a voucher, the seller can only extend its end date or raise its usage limit; all other fields are locked. Ending a voucher removes it from the wallets of buyers who have not used it; orders already placed keep their discount.</t>
  </si>
  <si>
    <t xml:space="preserve">A28</t>
  </si>
  <si>
    <t xml:space="preserve">Store sales</t>
  </si>
  <si>
    <t xml:space="preserve">A product can be in only one store sale at a time; overlapping schedules are rejected. A running sale's discount can be edited and applies immediately to new orders; End Now ends it at once. Orders already placed keep the price paid.</t>
  </si>
  <si>
    <t xml:space="preserve">A29</t>
  </si>
  <si>
    <t xml:space="preserve">Low-stock alert</t>
  </si>
  <si>
    <t xml:space="preserve">An alert is shown when a product's or variant's stock reaches 5 or fewer, once per crossing (it does not repeat until stock goes above 5 and drops again).</t>
  </si>
  <si>
    <t xml:space="preserve">A30</t>
  </si>
  <si>
    <t xml:space="preserve">Address book</t>
  </si>
  <si>
    <t xml:space="preserve">Up to 10 addresses per buyer. The default address cannot be deleted until another address is made default. Orders keep a copy of the address at order time, so editing or deleting an address does not change existing orders.</t>
  </si>
  <si>
    <t xml:space="preserve">A31</t>
  </si>
  <si>
    <t xml:space="preserve">Return and refund requests</t>
  </si>
  <si>
    <t xml:space="preserve">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</si>
  <si>
    <t xml:space="preserve">A32</t>
  </si>
  <si>
    <t xml:space="preserve">Proof of delivery</t>
  </si>
  <si>
    <t xml:space="preserve">Delivered needs a photo (JPG or PNG) and the 6-digit delivery OTP shown in the buyer's app once the parcel is Out for Delivery. After 5 wrong OTP entries, OTP entry on that job is locked for 15 minutes.</t>
  </si>
  <si>
    <t xml:space="preserve">A33</t>
  </si>
  <si>
    <t xml:space="preserve">Rider pay</t>
  </si>
  <si>
    <t xml:space="preserve">₱50.00 per successful delivery, ₱30.00 per completed pickup, ₱0.00 for a failed attempt. Pay is not reduced by COD.</t>
  </si>
  <si>
    <t xml:space="preserve">A34</t>
  </si>
  <si>
    <t xml:space="preserve">Dispatch and reassignment</t>
  </si>
  <si>
    <t xml:space="preserve">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</si>
  <si>
    <t xml:space="preserve">A35</t>
  </si>
  <si>
    <t xml:space="preserve">Audit log</t>
  </si>
  <si>
    <t xml:space="preserve">Every manual status override, rider or courier approval or suspension, trip reassignment or cancellation, seal or missing-parcel discrepancy, rate change and remittance confirmation is logged with user, date and time, old value, new value and reason. Log entries cannot be edited or deleted from the UI.</t>
  </si>
  <si>
    <t xml:space="preserve">A36</t>
  </si>
  <si>
    <t xml:space="preserve">Report export</t>
  </si>
  <si>
    <t xml:space="preserve">Reports export as CSV and XLSX. Exported rows and totals equal the on-screen rows and totals for the same filter.</t>
  </si>
  <si>
    <t xml:space="preserve">A37</t>
  </si>
  <si>
    <t xml:space="preserve">Duplicate submissions</t>
  </si>
  <si>
    <t xml:space="preserve">Every create or submit action (Publish, Place Order, Pay, Request Payout, Accept job, Remit, Confirm) is idempotent: double-tapping, tapping the keyboard's Done key twice, pulling to pull-to-refresh, or going Back and resubmitting never creates a second record or a second charge.</t>
  </si>
  <si>
    <t xml:space="preserve">A38</t>
  </si>
  <si>
    <t xml:space="preserve">Linehaul trips (hub to hub)</t>
  </si>
  <si>
    <t xml:space="preserve">A parcel whose delivery address belongs to another hub travels between hubs on a linehaul trip driven by a courier. Logistics creates the trip (origin hub, destination hub, and parcels that are At Hub at the origin and belong to the destination hub's delivery zone), then assigns a courier. The courier accepts, scans every parcel while loading, enters the seal number and departs; each parcel becomes In Transit. At the destination, hub staff confirm the seal and scan each parcel in (At Hub). Trip statuses: Scheduled → Assigned → Accepted → Loading → In Transit → Arrived → Completed (or Completed with Discrepancy, or Cancelled). A trip can be edited or cancelled only before departure.</t>
  </si>
  <si>
    <t xml:space="preserve">A39</t>
  </si>
  <si>
    <t xml:space="preserve">Courier rules</t>
  </si>
  <si>
    <t xml:space="preserve">Only Active couriers who are On Duty can be assigned a trip; a courier holds at most 1 active trip, and the trip weight cannot exceed the vehicle's load capacity. Going On Duty needs location permission and a passed pre-trip checklist (Tires, Lights, Brakes, Fuel, Cargo door lock); an item marked Not OK needs a note (10–300 characters), keeps the courier Off Duty and notifies Logistics. Off Duty is not allowed while a trip is Loading or In Transit. Depart is allowed only within 500 m of the origin hub and after every parcel is scanned; Arrived only within 500 m of the destination hub. Suspending a courier returns their Assigned or Accepted trips to Unassigned; a trip already In Transit stays with them until handover. Only hub staff can confirm receipt at the destination. Plate and license numbers are unique across riders and couriers.</t>
  </si>
  <si>
    <t xml:space="preserve">A40</t>
  </si>
  <si>
    <t xml:space="preserve">Seal and handover discrepancies</t>
  </si>
  <si>
    <t xml:space="preserve">The seal number is BH- followed by 7 digits (for example BH-0004521) and is required before departure. If the seal entered at the destination does not match, the trip is flagged Seal Discrepancy. Parcels not scanned in when the destination hub closes receiving become Missing in Transit; a parcel marked Damaged needs a photo. Any discrepancy makes the trip Completed with Discrepancy, notifies Logistics and the seller, and asks the courier for a note (10–300 characters). All are logged (A35).</t>
  </si>
  <si>
    <t xml:space="preserve">A41</t>
  </si>
  <si>
    <t xml:space="preserve">Courier pay and delays</t>
  </si>
  <si>
    <t xml:space="preserve">Pay per completed trip: Van ₱600.00, 4-Wheeler Closed Van Truck ₱1,000.00, 6-Wheeler Truck ₱1,500.00. Declined, cancelled and reassigned-away trips pay ₱0.00; the pay goes to the courier who completes the handover. A delay report needs a reason from the list (Heavy traffic, Vehicle breakdown, Weather, Road closure, Other) and a new ETA later than the current time; Logistics is notified. After a Vehicle breakdown report, Logistics can reassign the In Transit trip to another courier, who must scan every parcel again before continuing.</t>
  </si>
  <si>
    <t xml:space="preserve">M1</t>
  </si>
  <si>
    <t xml:space="preserve">Mobile app under test</t>
  </si>
  <si>
    <t xml:space="preserve">The system is tested as a mobile app (Android and/or iOS) installed from an APK, TestFlight or store build. Record the phone model, OS version and app build on the Summary sheet. Admin-only steps (approvals, platform vouchers) may stay on a web admin panel; run those steps there.</t>
  </si>
  <si>
    <t xml:space="preserve">M2</t>
  </si>
  <si>
    <t xml:space="preserve">Keyboard and input</t>
  </si>
  <si>
    <t xml:space="preserve">Each field opens the keyboard that fits it: email keyboard (with @) for Email; number pad for Mobile Number, OTP, Postal Code, TIN, quantity and stock; decimal pad for prices and weight. Password fields show no autocorrect or suggestions. The keyboard never hides the focused field or the main button.</t>
  </si>
  <si>
    <t xml:space="preserve">M3</t>
  </si>
  <si>
    <t xml:space="preserve">OTP entry on the phone</t>
  </si>
  <si>
    <t xml:space="preserve">The OTP field accepts a pasted 6-digit code (filling every box when the field is split into boxes) and supports the phone's one-time-code autofill where available. The expiry countdown is based on the time the code was sent, so it keeps running while the user is in the mail app.</t>
  </si>
  <si>
    <t xml:space="preserve">M4</t>
  </si>
  <si>
    <t xml:space="preserve">Interruptions</t>
  </si>
  <si>
    <t xml:space="preserve">Sending the app to the background (Home, switching apps, an incoming call, locking the screen) and returning keeps the current screen and the typed values (passwords may be cleared). Rotating the phone is either blocked (portrait only) or keeps every value. Nothing is submitted unless the user taps the button.</t>
  </si>
  <si>
    <t xml:space="preserve">M5</t>
  </si>
  <si>
    <t xml:space="preserve">No internet or a dropped connection</t>
  </si>
  <si>
    <t xml:space="preserve">With no connection the app shows a clear no-internet message with Retry, never crashes or freezes, and never shows success for something the server did not save. Saving an action offline and sending it later is allowed only if the app shows it as pending, and it is sent exactly once. Write in column D whether your app blocks or queues offline actions.</t>
  </si>
  <si>
    <t xml:space="preserve">M6</t>
  </si>
  <si>
    <t xml:space="preserve">Phone permissions</t>
  </si>
  <si>
    <t xml:space="preserve">Camera, photos/files, location and notifications are requested only when first needed, with a reason. If a permission is denied, the app explains why it is needed, offers a link to the phone's Settings, keeps working for everything that does not need it, and never crashes.</t>
  </si>
  <si>
    <t xml:space="preserve">M7</t>
  </si>
  <si>
    <t xml:space="preserve">Picking and capturing files</t>
  </si>
  <si>
    <t xml:space="preserve">Each upload offers Camera, Gallery/Photos and, for PDFs, Files. The type and size rules (A10 / A16) apply to every source. Camera photos larger than 5 MB are compressed to 5 MB or less before upload. Copy the Test Files to the phone before testing.</t>
  </si>
  <si>
    <t xml:space="preserve">M8</t>
  </si>
  <si>
    <t xml:space="preserve">Back navigation</t>
  </si>
  <si>
    <t xml:space="preserve">The Android Back button and iOS swipe-back go to the previous screen. Leaving a form with unsaved changes asks the user to confirm discarding them. After logging out, Back never shows a logged-in screen.</t>
  </si>
  <si>
    <t xml:space="preserve">M9</t>
  </si>
  <si>
    <t xml:space="preserve">Login session on the phone</t>
  </si>
  <si>
    <t xml:space="preserve">The app stays logged in after it is closed, reopened or the phone restarts, until the user logs out, the password is changed (which also ends the session on the user's other phones), or the session token expires.</t>
  </si>
  <si>
    <t xml:space="preserve">M10</t>
  </si>
  <si>
    <t xml:space="preserve">Push notifications</t>
  </si>
  <si>
    <t xml:space="preserve">Status changes, approvals and chat messages also send a push notification to the phone of each user involved, and to no one else. Tapping a notification opens the related screen, even if the app was closed. If notifications are turned off in phone Settings, the in-app notification list still works.</t>
  </si>
  <si>
    <t xml:space="preserve">M11</t>
  </si>
  <si>
    <t xml:space="preserve">Deep links and direct requests</t>
  </si>
  <si>
    <t xml:space="preserve">Share links and email links (activation, product, store) open the matching screen in the app, or a mobile web page if the app is not installed. Access rules are enforced by the server: a deep link or a direct API request for another role's or another user's data is refused (401/403, an access-denied screen or a redirect to home). Cases that capture or send a request directly need a proxy tool on the test phone (for example HTTP Toolkit, Charles or mitmproxy). If your group cannot capture app traffic, mark those cases Blocked and write 'no proxy' in Remarks.</t>
  </si>
  <si>
    <t xml:space="preserve">M12</t>
  </si>
  <si>
    <t xml:space="preserve">Screen size and display</t>
  </si>
  <si>
    <t xml:space="preserve">Every screen works on a small phone (about 5.5 in) and a large one (about 6.7 in), in light and dark mode, and with the largest system font: no cut-off text, no overlapping controls, and no buttons hidden behind the keyboard.</t>
  </si>
  <si>
    <t xml:space="preserve">M13</t>
  </si>
  <si>
    <t xml:space="preserve">Rider location</t>
  </si>
  <si>
    <t xml:space="preserve">The rider app needs location permission to go Online and sends the rider's location while Online. If location is turned off, or the app is closed for more than 5 minutes, the rider receives no new offers and is shown as Offline. Navigate opens the phone's map app (Google Maps or Waze).</t>
  </si>
  <si>
    <t xml:space="preserve">M14</t>
  </si>
  <si>
    <t xml:space="preserve">Scanning and proof photos</t>
  </si>
  <si>
    <t xml:space="preserve">Waybill barcodes are scanned with the phone camera (with a flashlight toggle), and every scan screen also lets the user type the tracking number. Proof-of-delivery and damage photos are taken live with the in-app camera; old photos from the gallery are not accepted.</t>
  </si>
  <si>
    <t xml:space="preserve">Test data</t>
  </si>
  <si>
    <t xml:space="preserve">Shared by all five module workbooks. All people, stores, numbers and addresses are fictional. Seed these products, vouchers and rates before testing, or replace them with your own and update the Test Data column on the module sheets.</t>
  </si>
  <si>
    <t xml:space="preserve">Accounts (created in the Account Creation test set)</t>
  </si>
  <si>
    <t xml:space="preserve">Role</t>
  </si>
  <si>
    <t xml:space="preserve">Name / store</t>
  </si>
  <si>
    <t xml:space="preserve">Login email</t>
  </si>
  <si>
    <t xml:space="preserve">Password</t>
  </si>
  <si>
    <t xml:space="preserve">Status / notes</t>
  </si>
  <si>
    <t xml:space="preserve">Buyer 1</t>
  </si>
  <si>
    <t xml:space="preserve">Buyer</t>
  </si>
  <si>
    <t xml:space="preserve">Juan Miguel Dela Cruz</t>
  </si>
  <si>
    <t xml:space="preserve">juanmiguel.delacruz@example.com</t>
  </si>
  <si>
    <t xml:space="preserve">Mamimili@2026</t>
  </si>
  <si>
    <t xml:space="preserve">Active. Main buyer.</t>
  </si>
  <si>
    <t xml:space="preserve">Buyer 2</t>
  </si>
  <si>
    <t xml:space="preserve">Ana Marie Reyes</t>
  </si>
  <si>
    <t xml:space="preserve">anamarie.reyes@example.com</t>
  </si>
  <si>
    <t xml:space="preserve">Suki#2026Ana</t>
  </si>
  <si>
    <t xml:space="preserve">Active. Second buyer for concurrency and access tests.</t>
  </si>
  <si>
    <t xml:space="preserve">Seller 1</t>
  </si>
  <si>
    <t xml:space="preserve">Seller</t>
  </si>
  <si>
    <t xml:space="preserve">Maria Clara Handicrafts (Maria Clara Santos)</t>
  </si>
  <si>
    <t xml:space="preserve">mariaclara.santos@example.com</t>
  </si>
  <si>
    <t xml:space="preserve">Tindahan@2026</t>
  </si>
  <si>
    <t xml:space="preserve">Approved. Pickup: Commonwealth, Quezon City (NCR). Main seller.</t>
  </si>
  <si>
    <t xml:space="preserve">Seller 2</t>
  </si>
  <si>
    <t xml:space="preserve">RV Gadget Hub (Roberto Villanueva)</t>
  </si>
  <si>
    <t xml:space="preserve">roberto.villanueva@example.com</t>
  </si>
  <si>
    <t xml:space="preserve">Gadget#Hub26</t>
  </si>
  <si>
    <t xml:space="preserve">Approved. Pickup: Lahug, Cebu City (Visayas).</t>
  </si>
  <si>
    <t xml:space="preserve">Seller 3</t>
  </si>
  <si>
    <t xml:space="preserve">Tindahan ni Lola (test)</t>
  </si>
  <si>
    <t xml:space="preserve">seller.test01@example.com</t>
  </si>
  <si>
    <t xml:space="preserve">Pending Approval. For the unverified-seller cases.</t>
  </si>
  <si>
    <t xml:space="preserve">Logistics 1</t>
  </si>
  <si>
    <t xml:space="preserve">Logistics</t>
  </si>
  <si>
    <t xml:space="preserve">Bilis Hatid Express Inc. (Carlos Antonio Mendoza)</t>
  </si>
  <si>
    <t xml:space="preserve">operations@bilishatid.example.com</t>
  </si>
  <si>
    <t xml:space="preserve">Hatid@2026</t>
  </si>
  <si>
    <t xml:space="preserve">Approved. Serves NCR and CALABARZON. Main logistics account.</t>
  </si>
  <si>
    <t xml:space="preserve">Logistics 2</t>
  </si>
  <si>
    <t xml:space="preserve">Agila Cargo Movers Corp. (Liza Mae Fernandez)</t>
  </si>
  <si>
    <t xml:space="preserve">admin@agilacargo.example.com</t>
  </si>
  <si>
    <t xml:space="preserve">Agila#Cargo26</t>
  </si>
  <si>
    <t xml:space="preserve">Approved. Serves Davao. Used for cross-company access tests.</t>
  </si>
  <si>
    <t xml:space="preserve">Rider 1</t>
  </si>
  <si>
    <t xml:space="preserve">Rider</t>
  </si>
  <si>
    <t xml:space="preserve">Pedro Jose Garcia (Motorcycle, 123ABC)</t>
  </si>
  <si>
    <t xml:space="preserve">pedrojose.garcia@example.com</t>
  </si>
  <si>
    <t xml:space="preserve">Rider@2026</t>
  </si>
  <si>
    <t xml:space="preserve">Active, under Logistics 1. Main rider.</t>
  </si>
  <si>
    <t xml:space="preserve">Rider 2</t>
  </si>
  <si>
    <t xml:space="preserve">Mark Anthony Bautista (Van, NBC1234)</t>
  </si>
  <si>
    <t xml:space="preserve">markanthony.bautista@example.com</t>
  </si>
  <si>
    <t xml:space="preserve">Hatid#Mark26</t>
  </si>
  <si>
    <t xml:space="preserve">Active, under Logistics 1. Second rider for concurrency tests.</t>
  </si>
  <si>
    <t xml:space="preserve">Rider 3</t>
  </si>
  <si>
    <t xml:space="preserve">Ramon Cruz (Motorcycle, 456DEF)</t>
  </si>
  <si>
    <t xml:space="preserve">rider.test01@example.com</t>
  </si>
  <si>
    <t xml:space="preserve">Suspended by Logistics 1. For blocked-rider cases.</t>
  </si>
  <si>
    <t xml:space="preserve">Admin</t>
  </si>
  <si>
    <t xml:space="preserve">Seeded admin</t>
  </si>
  <si>
    <t xml:space="preserve">Use the admin account already seeded in your system</t>
  </si>
  <si>
    <t xml:space="preserve">Creates platform vouchers PLAT100 and FREESHIP.</t>
  </si>
  <si>
    <t xml:space="preserve">Buyer addresses</t>
  </si>
  <si>
    <t xml:space="preserve">Owner</t>
  </si>
  <si>
    <t xml:space="preserve">Label</t>
  </si>
  <si>
    <t xml:space="preserve">Address</t>
  </si>
  <si>
    <t xml:space="preserve">Recipient / phone</t>
  </si>
  <si>
    <t xml:space="preserve">Notes</t>
  </si>
  <si>
    <t xml:space="preserve">ADDR-1</t>
  </si>
  <si>
    <t xml:space="preserve">Home (default)</t>
  </si>
  <si>
    <t xml:space="preserve">45 Kalayaan Ave., Brgy. Central, Quezon City, Metro Manila, NCR 1100</t>
  </si>
  <si>
    <t xml:space="preserve">Juan Miguel Dela Cruz / 09171234567</t>
  </si>
  <si>
    <t xml:space="preserve">Zone NCR</t>
  </si>
  <si>
    <t xml:space="preserve">ADDR-2</t>
  </si>
  <si>
    <t xml:space="preserve">Office</t>
  </si>
  <si>
    <t xml:space="preserve">12F Pacific Tower, 6750 Ayala Ave., Brgy. San Lorenzo, Makati City, Metro Manila, NCR 1223</t>
  </si>
  <si>
    <t xml:space="preserve">ADDR-3</t>
  </si>
  <si>
    <t xml:space="preserve">78 Osmeña Blvd., Brgy. Capitol Site, Cebu City, Cebu, Region VII 6000</t>
  </si>
  <si>
    <t xml:space="preserve">Ana Marie Reyes / 09173456789</t>
  </si>
  <si>
    <t xml:space="preserve">Zone Visayas</t>
  </si>
  <si>
    <t xml:space="preserve">ADDR-4</t>
  </si>
  <si>
    <t xml:space="preserve">Province</t>
  </si>
  <si>
    <t xml:space="preserve">Purok 2, Brgy. Raele, Itbayat, Batanes, Region II 3905</t>
  </si>
  <si>
    <t xml:space="preserve">Unserviceable area (no logistics zone covers it)</t>
  </si>
  <si>
    <t xml:space="preserve">Store categories (Seller 1)</t>
  </si>
  <si>
    <t xml:space="preserve">Category</t>
  </si>
  <si>
    <t xml:space="preserve">Parent</t>
  </si>
  <si>
    <t xml:space="preserve">Visible</t>
  </si>
  <si>
    <t xml:space="preserve">Products</t>
  </si>
  <si>
    <t xml:space="preserve">CAT-1</t>
  </si>
  <si>
    <t xml:space="preserve">Bags</t>
  </si>
  <si>
    <t xml:space="preserve">Yes</t>
  </si>
  <si>
    <t xml:space="preserve">P-01</t>
  </si>
  <si>
    <t xml:space="preserve">CAT-2</t>
  </si>
  <si>
    <t xml:space="preserve">Home Decor</t>
  </si>
  <si>
    <t xml:space="preserve">Parent category</t>
  </si>
  <si>
    <t xml:space="preserve">CAT-3</t>
  </si>
  <si>
    <t xml:space="preserve">Lamps</t>
  </si>
  <si>
    <t xml:space="preserve">P-03</t>
  </si>
  <si>
    <t xml:space="preserve">Subcategory (level 2)</t>
  </si>
  <si>
    <t xml:space="preserve">CAT-4</t>
  </si>
  <si>
    <t xml:space="preserve">Baskets</t>
  </si>
  <si>
    <t xml:space="preserve">P-02</t>
  </si>
  <si>
    <t xml:space="preserve">CAT-5</t>
  </si>
  <si>
    <t xml:space="preserve">Kitchen &amp; Dining</t>
  </si>
  <si>
    <t xml:space="preserve">P-04</t>
  </si>
  <si>
    <t xml:space="preserve">Product</t>
  </si>
  <si>
    <t xml:space="preserve">Price / variants</t>
  </si>
  <si>
    <t xml:space="preserve">Stock</t>
  </si>
  <si>
    <t xml:space="preserve">Weight and size / other</t>
  </si>
  <si>
    <t xml:space="preserve">Abaca Woven Tote Bag</t>
  </si>
  <si>
    <t xml:space="preserve">Color: Natural, Black × Size: S ₱199, M ₱249, L ₱299 (6 variants). SKU MCH-TOTE-&lt;COLOR&gt;-&lt;SIZE&gt;</t>
  </si>
  <si>
    <t xml:space="preserve">Natural-S 10, Natural-M 8, Natural-L 5, Black-S 10, Black-M 0, Black-L 3</t>
  </si>
  <si>
    <t xml:space="preserve">0.4 kg; 40 × 35 × 5 cm. Platform category: Women's Bags</t>
  </si>
  <si>
    <t xml:space="preserve">Rattan Fruit Basket</t>
  </si>
  <si>
    <t xml:space="preserve">₱450.00 (no variants)</t>
  </si>
  <si>
    <t xml:space="preserve">20</t>
  </si>
  <si>
    <t xml:space="preserve">0.8 kg; 30 × 30 × 15 cm. Platform category: Home &amp; Living</t>
  </si>
  <si>
    <t xml:space="preserve">Capiz Shell Lamp</t>
  </si>
  <si>
    <t xml:space="preserve">₱1,250.00</t>
  </si>
  <si>
    <t xml:space="preserve">1 (for the oversell case)</t>
  </si>
  <si>
    <t xml:space="preserve">1.5 kg; 30 × 30 × 40 cm</t>
  </si>
  <si>
    <t xml:space="preserve">Banig Placemat Set of 4</t>
  </si>
  <si>
    <t xml:space="preserve">₱350.00</t>
  </si>
  <si>
    <t xml:space="preserve">0 (out of stock)</t>
  </si>
  <si>
    <t xml:space="preserve">0.5 kg</t>
  </si>
  <si>
    <t xml:space="preserve">P-05</t>
  </si>
  <si>
    <t xml:space="preserve">USB-C Fast Charger 20W</t>
  </si>
  <si>
    <t xml:space="preserve">₱399.00</t>
  </si>
  <si>
    <t xml:space="preserve">50</t>
  </si>
  <si>
    <t xml:space="preserve">0.2 kg; 10 × 8 × 5 cm</t>
  </si>
  <si>
    <t xml:space="preserve">P-06</t>
  </si>
  <si>
    <t xml:space="preserve">Wireless Earbuds X2</t>
  </si>
  <si>
    <t xml:space="preserve">Color: Black, White; ₱1,499.00 each</t>
  </si>
  <si>
    <t xml:space="preserve">Black 10, White 10</t>
  </si>
  <si>
    <t xml:space="preserve">0.3 kg</t>
  </si>
  <si>
    <t xml:space="preserve">P-07</t>
  </si>
  <si>
    <t xml:space="preserve">Power Bank 10000mAh</t>
  </si>
  <si>
    <t xml:space="preserve">₱899.00; per-buyer purchase limit 2</t>
  </si>
  <si>
    <t xml:space="preserve">5</t>
  </si>
  <si>
    <t xml:space="preserve">0.4 kg</t>
  </si>
  <si>
    <t xml:space="preserve">Vouchers</t>
  </si>
  <si>
    <t xml:space="preserve">Code</t>
  </si>
  <si>
    <t xml:space="preserve">Owner / funded by</t>
  </si>
  <si>
    <t xml:space="preserve">Type</t>
  </si>
  <si>
    <t xml:space="preserve">Rule</t>
  </si>
  <si>
    <t xml:space="preserve">Limits / validity</t>
  </si>
  <si>
    <t xml:space="preserve">Display</t>
  </si>
  <si>
    <t xml:space="preserve">MCH50</t>
  </si>
  <si>
    <t xml:space="preserve">Seller 1 / seller</t>
  </si>
  <si>
    <t xml:space="preserve">Fixed ₱50 off</t>
  </si>
  <si>
    <t xml:space="preserve">Min spend ₱300; all Seller 1 products</t>
  </si>
  <si>
    <t xml:space="preserve">100 total, 1 per buyer; valid this month</t>
  </si>
  <si>
    <t xml:space="preserve">Claimable</t>
  </si>
  <si>
    <t xml:space="preserve">MCH10</t>
  </si>
  <si>
    <t xml:space="preserve">10% off, cap ₱100</t>
  </si>
  <si>
    <t xml:space="preserve">Min spend ₱500</t>
  </si>
  <si>
    <t xml:space="preserve">50 total, 1 per buyer; valid this month</t>
  </si>
  <si>
    <t xml:space="preserve">RVSECRET</t>
  </si>
  <si>
    <t xml:space="preserve">Seller 2 / seller</t>
  </si>
  <si>
    <t xml:space="preserve">Fixed ₱100 off</t>
  </si>
  <si>
    <t xml:space="preserve">Min spend ₱1,000</t>
  </si>
  <si>
    <t xml:space="preserve">20 total, 1 per buyer</t>
  </si>
  <si>
    <t xml:space="preserve">Code-only (hidden)</t>
  </si>
  <si>
    <t xml:space="preserve">MCHOLD</t>
  </si>
  <si>
    <t xml:space="preserve">Fixed ₱30 off</t>
  </si>
  <si>
    <t xml:space="preserve">Min spend ₱200</t>
  </si>
  <si>
    <t xml:space="preserve">Expired yesterday</t>
  </si>
  <si>
    <t xml:space="preserve">MCHSOON</t>
  </si>
  <si>
    <t xml:space="preserve">Starts tomorrow</t>
  </si>
  <si>
    <t xml:space="preserve">MCHMAX</t>
  </si>
  <si>
    <t xml:space="preserve">Fixed ₱20 off</t>
  </si>
  <si>
    <t xml:space="preserve">Min spend ₱100</t>
  </si>
  <si>
    <t xml:space="preserve">Total usage limit 1, already used by Buyer 2</t>
  </si>
  <si>
    <t xml:space="preserve">PLAT100</t>
  </si>
  <si>
    <t xml:space="preserve">Admin / platform</t>
  </si>
  <si>
    <t xml:space="preserve">Min spend ₱1,000 (whole order)</t>
  </si>
  <si>
    <t xml:space="preserve">1 per buyer</t>
  </si>
  <si>
    <t xml:space="preserve">FREESHIP</t>
  </si>
  <si>
    <t xml:space="preserve">Shipping, up to ₱50 off</t>
  </si>
  <si>
    <t xml:space="preserve">Min spend ₱300</t>
  </si>
  <si>
    <t xml:space="preserve">Shipping rate table (test rates)</t>
  </si>
  <si>
    <t xml:space="preserve">Route</t>
  </si>
  <si>
    <t xml:space="preserve">First kg</t>
  </si>
  <si>
    <t xml:space="preserve">Each additional kg</t>
  </si>
  <si>
    <t xml:space="preserve">Example</t>
  </si>
  <si>
    <t xml:space="preserve">Within NCR</t>
  </si>
  <si>
    <t xml:space="preserve">₱50.00</t>
  </si>
  <si>
    <t xml:space="preserve">₱15.00</t>
  </si>
  <si>
    <t xml:space="preserve">1.2 kg → 2 kg → ₱65.00</t>
  </si>
  <si>
    <t xml:space="preserve">Seller 1 to ADDR-1 or ADDR-2</t>
  </si>
  <si>
    <t xml:space="preserve">Visayas to NCR</t>
  </si>
  <si>
    <t xml:space="preserve">₱120.00</t>
  </si>
  <si>
    <t xml:space="preserve">₱40.00</t>
  </si>
  <si>
    <t xml:space="preserve">0.2 kg → 1 kg → ₱120.00</t>
  </si>
  <si>
    <t xml:space="preserve">Seller 2 to ADDR-1</t>
  </si>
  <si>
    <t xml:space="preserve">NCR to Visayas</t>
  </si>
  <si>
    <t xml:space="preserve">0.4 kg → 1 kg → ₱120.00</t>
  </si>
  <si>
    <t xml:space="preserve">Seller 1 to ADDR-3</t>
  </si>
  <si>
    <t xml:space="preserve">Within Visayas</t>
  </si>
  <si>
    <t xml:space="preserve">₱60.00</t>
  </si>
  <si>
    <t xml:space="preserve">₱20.00</t>
  </si>
  <si>
    <t xml:space="preserve">Seller 2 to ADDR-3</t>
  </si>
  <si>
    <t xml:space="preserve">Worked checkout example (used in Buyer B7/B8, Seller S12 and Cross-cutting X3)</t>
  </si>
  <si>
    <t xml:space="preserve">Line</t>
  </si>
  <si>
    <t xml:space="preserve">Item</t>
  </si>
  <si>
    <t xml:space="preserve">Amount</t>
  </si>
  <si>
    <t xml:space="preserve">How it is calculated</t>
  </si>
  <si>
    <t xml:space="preserve">1</t>
  </si>
  <si>
    <t xml:space="preserve">Seller 1: Abaca Tote Natural-M × 1 + Rattan Basket × 1</t>
  </si>
  <si>
    <t xml:space="preserve">₱699.00</t>
  </si>
  <si>
    <t xml:space="preserve">249 + 450</t>
  </si>
  <si>
    <t xml:space="preserve">2</t>
  </si>
  <si>
    <t xml:space="preserve">Seller 2: USB-C Charger × 1</t>
  </si>
  <si>
    <t xml:space="preserve">3</t>
  </si>
  <si>
    <t xml:space="preserve">Merchandise subtotal</t>
  </si>
  <si>
    <t xml:space="preserve">₱1,098.00</t>
  </si>
  <si>
    <t xml:space="preserve">699 + 399</t>
  </si>
  <si>
    <t xml:space="preserve">4</t>
  </si>
  <si>
    <t xml:space="preserve">Shipping, Seller 1 (1.2 kg, within NCR)</t>
  </si>
  <si>
    <t xml:space="preserve">₱65.00</t>
  </si>
  <si>
    <t xml:space="preserve">50 + 15</t>
  </si>
  <si>
    <t xml:space="preserve">Shipping, Seller 2 (0.2 kg, Visayas to NCR)</t>
  </si>
  <si>
    <t xml:space="preserve">6</t>
  </si>
  <si>
    <t xml:space="preserve">Store voucher MCH50 (Seller 1)</t>
  </si>
  <si>
    <t xml:space="preserve">−₱50.00</t>
  </si>
  <si>
    <t xml:space="preserve">Seller 1 subtotal 699 ≥ 300</t>
  </si>
  <si>
    <t xml:space="preserve">7</t>
  </si>
  <si>
    <t xml:space="preserve">Platform voucher PLAT100</t>
  </si>
  <si>
    <t xml:space="preserve">−₱100.00</t>
  </si>
  <si>
    <t xml:space="preserve">Order subtotal 1,098 ≥ 1,000</t>
  </si>
  <si>
    <t xml:space="preserve">8</t>
  </si>
  <si>
    <t xml:space="preserve">Shipping voucher FREESHIP</t>
  </si>
  <si>
    <t xml:space="preserve">Capped at ₱50</t>
  </si>
  <si>
    <t xml:space="preserve">9</t>
  </si>
  <si>
    <t xml:space="preserve">Total to pay</t>
  </si>
  <si>
    <t xml:space="preserve">₱1,083.00</t>
  </si>
  <si>
    <t xml:space="preserve">1,098 + 185 − 50 − 100 − 50</t>
  </si>
  <si>
    <t xml:space="preserve">10</t>
  </si>
  <si>
    <t xml:space="preserve">Seller 1 net earnings for this order</t>
  </si>
  <si>
    <t xml:space="preserve">₱616.55</t>
  </si>
  <si>
    <t xml:space="preserve">(699 − 50) = 649 gross after seller vouchers; 5% commission = 32.45</t>
  </si>
  <si>
    <t xml:space="preserve">11</t>
  </si>
  <si>
    <t xml:space="preserve">Seller 2 net earnings for this order</t>
  </si>
  <si>
    <t xml:space="preserve">₱379.05</t>
  </si>
  <si>
    <t xml:space="preserve">399 − 5% commission (19.95)</t>
  </si>
  <si>
    <t xml:space="preserve">Other values</t>
  </si>
  <si>
    <t xml:space="preserve">Value</t>
  </si>
  <si>
    <t xml:space="preserve">Delivery OTP</t>
  </si>
  <si>
    <t xml:space="preserve">Shown in Buyer 1's order screen when Out for Delivery</t>
  </si>
  <si>
    <t xml:space="preserve">6 digits (A32)</t>
  </si>
  <si>
    <t xml:space="preserve">₱50.00 per delivery, ₱30.00 per pickup, ₱0.00 per failed attempt</t>
  </si>
  <si>
    <t xml:space="preserve">PLAT100 split (worked example)</t>
  </si>
  <si>
    <t xml:space="preserve">Seller 1 order ₱63.66; Seller 2 order ₱36.34</t>
  </si>
  <si>
    <t xml:space="preserve">100 × 699/1,098 and 100 × 399/1,098 (A8)</t>
  </si>
  <si>
    <t xml:space="preserve">Spare emails</t>
  </si>
  <si>
    <t xml:space="preserve">buyer.test01@example.com to buyer.test10@example.com</t>
  </si>
  <si>
    <t xml:space="preserve">Same pattern for seller.test, logistics.test, rider.test</t>
  </si>
  <si>
    <t xml:space="preserve">Spare mobile numbers</t>
  </si>
  <si>
    <t xml:space="preserve">09170000001 to 09170000020</t>
  </si>
  <si>
    <t xml:space="preserve">Long text samples</t>
  </si>
  <si>
    <t xml:space="preserve">Generate with any 'lorem ipsum' tool to the exact character count</t>
  </si>
  <si>
    <t xml:space="preserve">Check the count in a character counter before pasting</t>
  </si>
  <si>
    <t xml:space="preserve">Script and injection strings</t>
  </si>
  <si>
    <t xml:space="preserve">&lt;script&gt;alert(1)&lt;/script&gt;
' OR '1'='1
"&gt;&lt;img src=x onerror=alert(1)&gt;</t>
  </si>
  <si>
    <t xml:space="preserve">Must be shown as text and never run</t>
  </si>
  <si>
    <t xml:space="preserve">Couriers (created in the Account Creation test set)</t>
  </si>
  <si>
    <t xml:space="preserve">Courier 1</t>
  </si>
  <si>
    <t xml:space="preserve">Courier</t>
  </si>
  <si>
    <t xml:space="preserve">Ernesto Villareal (4-Wheeler Closed Van Truck, NAB4521, 3,000 kg)</t>
  </si>
  <si>
    <t xml:space="preserve">ernesto.villareal@example.com</t>
  </si>
  <si>
    <t xml:space="preserve">Courier@2026</t>
  </si>
  <si>
    <t xml:space="preserve">Active, under Logistics 1, home hub HUB-QC. Main courier.</t>
  </si>
  <si>
    <t xml:space="preserve">Courier 2</t>
  </si>
  <si>
    <t xml:space="preserve">Rogelio Dimaculangan (Van, CAV7788, 800 kg)</t>
  </si>
  <si>
    <t xml:space="preserve">rogelio.dimaculangan@example.com</t>
  </si>
  <si>
    <t xml:space="preserve">Linehaul#Rog26</t>
  </si>
  <si>
    <t xml:space="preserve">Active, under Logistics 1, home hub HUB-PSG. Second courier for reassignment tests.</t>
  </si>
  <si>
    <t xml:space="preserve">Courier 3</t>
  </si>
  <si>
    <t xml:space="preserve">Danilo Ramos (Van, DAN3030, 800 kg)</t>
  </si>
  <si>
    <t xml:space="preserve">courier.test01@example.com</t>
  </si>
  <si>
    <t xml:space="preserve">Suspended by Logistics 1. For blocked-courier cases.</t>
  </si>
  <si>
    <t xml:space="preserve">Courier 4</t>
  </si>
  <si>
    <t xml:space="preserve">Joel Abellana (Van, AGL5050, 800 kg)</t>
  </si>
  <si>
    <t xml:space="preserve">courier.test02@example.com</t>
  </si>
  <si>
    <t xml:space="preserve">Active, under Logistics 2, home hub HUB-DVO. For cross-company cases.</t>
  </si>
  <si>
    <t xml:space="preserve">Hubs</t>
  </si>
  <si>
    <t xml:space="preserve">Hub</t>
  </si>
  <si>
    <t xml:space="preserve">Logistics company</t>
  </si>
  <si>
    <t xml:space="preserve">Serves</t>
  </si>
  <si>
    <t xml:space="preserve">HUB-QC</t>
  </si>
  <si>
    <t xml:space="preserve">Bilis Hatid QC First-Mile Hub</t>
  </si>
  <si>
    <t xml:space="preserve">1200 Commonwealth Ave., Brgy. Holy Spirit, Quezon City, NCR 1127</t>
  </si>
  <si>
    <t xml:space="preserve">Pickups from Quezon City sellers (Seller 1); deliveries to Quezon City (ADDR-1)</t>
  </si>
  <si>
    <t xml:space="preserve">Origin hub of TRIP-1</t>
  </si>
  <si>
    <t xml:space="preserve">HUB-PSG</t>
  </si>
  <si>
    <t xml:space="preserve">Bilis Hatid Pasig Main Hub</t>
  </si>
  <si>
    <t xml:space="preserve">Unit 5B, 88 West Capitol Drive, Brgy. Kapitolyo, Pasig City, NCR 1603</t>
  </si>
  <si>
    <t xml:space="preserve">Deliveries to Makati, Pasig and Mandaluyong (ADDR-2)</t>
  </si>
  <si>
    <t xml:space="preserve">Destination hub of TRIP-1</t>
  </si>
  <si>
    <t xml:space="preserve">HUB-STR</t>
  </si>
  <si>
    <t xml:space="preserve">Bilis Hatid Sta. Rosa Hub</t>
  </si>
  <si>
    <t xml:space="preserve">Lot 3, Balibago Complex, Brgy. Balibago, Santa Rosa, Laguna 4026</t>
  </si>
  <si>
    <t xml:space="preserve">CALABARZON deliveries</t>
  </si>
  <si>
    <t xml:space="preserve">Used for wrong-hub cases</t>
  </si>
  <si>
    <t xml:space="preserve">HUB-DVO</t>
  </si>
  <si>
    <t xml:space="preserve">Agila Davao Hub</t>
  </si>
  <si>
    <t xml:space="preserve">Door 3, 210 Sampaguita St., Brgy. Buhangin, Davao City 8000</t>
  </si>
  <si>
    <t xml:space="preserve">Davao deliveries</t>
  </si>
  <si>
    <t xml:space="preserve">Used for cross-company cases</t>
  </si>
  <si>
    <t xml:space="preserve">Linehaul trip and courier values</t>
  </si>
  <si>
    <t xml:space="preserve">Details</t>
  </si>
  <si>
    <t xml:space="preserve">Weight</t>
  </si>
  <si>
    <t xml:space="preserve">TRIP-1</t>
  </si>
  <si>
    <t xml:space="preserve">Linehaul trip</t>
  </si>
  <si>
    <t xml:space="preserve">HUB-QC → HUB-PSG</t>
  </si>
  <si>
    <t xml:space="preserve">5 COD parcels from Seller 1 to ADDR-2 (Buyer 1, Makati): 4 orders of 1 × P-02 and 1 order of 1 × P-01 Natural-M</t>
  </si>
  <si>
    <t xml:space="preserve">3.6 kg (4 × 0.8 + 0.4)</t>
  </si>
  <si>
    <t xml:space="preserve">Courier 1; seal BH-0004521; pay ₱1,000.00</t>
  </si>
  <si>
    <t xml:space="preserve">P-08</t>
  </si>
  <si>
    <t xml:space="preserve">Load-test product (Seller 1)</t>
  </si>
  <si>
    <t xml:space="preserve">Narra Coffee Table, ₱4,500.00, stock 50</t>
  </si>
  <si>
    <t xml:space="preserve">Seed only for the trip-capacity case</t>
  </si>
  <si>
    <t xml:space="preserve">25.0 kg each</t>
  </si>
  <si>
    <t xml:space="preserve">4 parcels = 100.0 kg</t>
  </si>
  <si>
    <t xml:space="preserve">Courier pay</t>
  </si>
  <si>
    <t xml:space="preserve">Per completed trip</t>
  </si>
  <si>
    <t xml:space="preserve">Van ₱600.00; 4-Wheeler Closed Van Truck ₱1,000.00; 6-Wheeler Truck ₱1,500.00</t>
  </si>
  <si>
    <t xml:space="preserve">Declined, cancelled or reassigned-away trips ₱0.00</t>
  </si>
  <si>
    <t xml:space="preserve">Seal number</t>
  </si>
  <si>
    <t xml:space="preserve">Format</t>
  </si>
  <si>
    <t xml:space="preserve">BH- followed by 7 digits</t>
  </si>
  <si>
    <t xml:space="preserve">Example: BH-0004521</t>
  </si>
  <si>
    <t xml:space="preserve">Pre-trip checklist</t>
  </si>
  <si>
    <t xml:space="preserve">Items</t>
  </si>
  <si>
    <t xml:space="preserve">Tires, Lights, Brakes, Fuel, Cargo door lock</t>
  </si>
  <si>
    <t xml:space="preserve">Each OK or Not OK; Not OK needs a note</t>
  </si>
  <si>
    <t xml:space="preserve">Spare couriers</t>
  </si>
  <si>
    <t xml:space="preserve">Emails and mobiles</t>
  </si>
  <si>
    <t xml:space="preserve">courier.test03@example.com to courier.test10@example.com</t>
  </si>
  <si>
    <t xml:space="preserve">09170000021 to 09170000025</t>
  </si>
  <si>
    <t xml:space="preserve">Upload files to prepare</t>
  </si>
  <si>
    <t xml:space="preserve">Prepare these files before testing uploads. Use sample images only. The size limit is 5 MB, which is 5,120 KB or 5,242,880 bytes. Copy every file to the test phone before testing: PDFs and other documents to Files / Downloads, and images to Photos (gallery) so they can be picked from either place.</t>
  </si>
  <si>
    <t xml:space="preserve">File name</t>
  </si>
  <si>
    <t xml:space="preserve">Size</t>
  </si>
  <si>
    <t xml:space="preserve">Used for</t>
  </si>
  <si>
    <t xml:space="preserve">Expected result</t>
  </si>
  <si>
    <t xml:space="preserve">product_front.jpg</t>
  </si>
  <si>
    <t xml:space="preserve">JPG</t>
  </si>
  <si>
    <t xml:space="preserve">1.2 MB</t>
  </si>
  <si>
    <t xml:space="preserve">Product image</t>
  </si>
  <si>
    <t xml:space="preserve">Accept</t>
  </si>
  <si>
    <t xml:space="preserve">product_side.png</t>
  </si>
  <si>
    <t xml:space="preserve">PNG</t>
  </si>
  <si>
    <t xml:space="preserve">2.4 MB</t>
  </si>
  <si>
    <t xml:space="preserve">store_logo.png</t>
  </si>
  <si>
    <t xml:space="preserve">300 KB</t>
  </si>
  <si>
    <t xml:space="preserve">Store logo</t>
  </si>
  <si>
    <t xml:space="preserve">store_banner.jpg</t>
  </si>
  <si>
    <t xml:space="preserve">1.8 MB</t>
  </si>
  <si>
    <t xml:space="preserve">Store banner</t>
  </si>
  <si>
    <t xml:space="preserve">review_photo.jpg</t>
  </si>
  <si>
    <t xml:space="preserve">1.5 MB</t>
  </si>
  <si>
    <t xml:space="preserve">Review photo / return evidence / chat attachment</t>
  </si>
  <si>
    <t xml:space="preserve">return_video.mp4</t>
  </si>
  <si>
    <t xml:space="preserve">MP4</t>
  </si>
  <si>
    <t xml:space="preserve">8 MB</t>
  </si>
  <si>
    <t xml:space="preserve">Return evidence video (if videos are supported)</t>
  </si>
  <si>
    <t xml:space="preserve">Accept per your rule</t>
  </si>
  <si>
    <t xml:space="preserve">pod_photo.jpg</t>
  </si>
  <si>
    <t xml:space="preserve">1.1 MB</t>
  </si>
  <si>
    <t xml:space="preserve">Rider proof of delivery</t>
  </si>
  <si>
    <t xml:space="preserve">size_4.9MB.jpg</t>
  </si>
  <si>
    <t xml:space="preserve">4.9 MB (5,138,022 bytes)</t>
  </si>
  <si>
    <t xml:space="preserve">Just under the size limit</t>
  </si>
  <si>
    <t xml:space="preserve">size_5.0MB.jpg</t>
  </si>
  <si>
    <t xml:space="preserve">5.0 MB (5,242,880 bytes)</t>
  </si>
  <si>
    <t xml:space="preserve">Exactly at the size limit</t>
  </si>
  <si>
    <t xml:space="preserve">size_5.1MB.jpg</t>
  </si>
  <si>
    <t xml:space="preserve">5.1 MB (5,347,738 bytes)</t>
  </si>
  <si>
    <t xml:space="preserve">Just over the size limit</t>
  </si>
  <si>
    <t xml:space="preserve">Reject</t>
  </si>
  <si>
    <t xml:space="preserve">price_list.docx</t>
  </si>
  <si>
    <t xml:space="preserve">DOCX</t>
  </si>
  <si>
    <t xml:space="preserve">320 KB</t>
  </si>
  <si>
    <t xml:space="preserve">Wrong file type (Word document)</t>
  </si>
  <si>
    <t xml:space="preserve">installer.exe</t>
  </si>
  <si>
    <t xml:space="preserve">EXE</t>
  </si>
  <si>
    <t xml:space="preserve">2.1 MB</t>
  </si>
  <si>
    <t xml:space="preserve">Wrong file type (program)</t>
  </si>
  <si>
    <t xml:space="preserve">renamed_exe.jpg</t>
  </si>
  <si>
    <t xml:space="preserve">JPG (really an EXE)</t>
  </si>
  <si>
    <t xml:space="preserve">Program renamed to .jpg</t>
  </si>
  <si>
    <t xml:space="preserve">pro_license.jpg</t>
  </si>
  <si>
    <t xml:space="preserve">1.4 MB</t>
  </si>
  <si>
    <t xml:space="preserve">Courier's professional driver's license</t>
  </si>
  <si>
    <t xml:space="preserve">pro_license.png</t>
  </si>
  <si>
    <t xml:space="preserve">Courier's professional driver's license in PNG</t>
  </si>
  <si>
    <t xml:space="preserve">truck_or_cr.pdf</t>
  </si>
  <si>
    <t xml:space="preserve">PDF</t>
  </si>
  <si>
    <t xml:space="preserve">950 KB</t>
  </si>
  <si>
    <t xml:space="preserve">Courier's truck Official Receipt and Certificate of Registration</t>
  </si>
  <si>
    <t xml:space="preserve">nbi_clearance.pdf</t>
  </si>
  <si>
    <t xml:space="preserve">600 KB</t>
  </si>
  <si>
    <t xml:space="preserve">Courier's NBI Clearance</t>
  </si>
  <si>
    <t xml:space="preserve">incident_photo.jpg</t>
  </si>
  <si>
    <t xml:space="preserve">1.3 MB</t>
  </si>
  <si>
    <t xml:space="preserve">Courier breakdown report / damaged parcel at unloading</t>
  </si>
  <si>
    <t xml:space="preserve">(take with the phone camera)</t>
  </si>
  <si>
    <t xml:space="preserve">JPG / HEIC</t>
  </si>
  <si>
    <t xml:space="preserve">Often 3–12 MB at full resolution</t>
  </si>
  <si>
    <t xml:space="preserve">Camera photo taken inside the app</t>
  </si>
  <si>
    <t xml:space="preserve">Compressed to 5 MB or less and accepted, or rejected with a size message (M7)</t>
  </si>
  <si>
    <t xml:space="preserve">(screenshot taken on the phone)</t>
  </si>
  <si>
    <t xml:space="preserve">Usually under 1 MB</t>
  </si>
  <si>
    <t xml:space="preserve">Image picked from the gallery</t>
  </si>
  <si>
    <t xml:space="preserve">Test Case ID</t>
  </si>
  <si>
    <t xml:space="preserve">Module</t>
  </si>
  <si>
    <t xml:space="preserve">Test Scenario</t>
  </si>
  <si>
    <t xml:space="preserve">Technique</t>
  </si>
  <si>
    <t xml:space="preserve">Priority</t>
  </si>
  <si>
    <t xml:space="preserve">Preconditions</t>
  </si>
  <si>
    <t xml:space="preserve">Test Steps</t>
  </si>
  <si>
    <t xml:space="preserve">Test Data</t>
  </si>
  <si>
    <t xml:space="preserve">Expected Result</t>
  </si>
  <si>
    <t xml:space="preserve">Assumption Ref</t>
  </si>
  <si>
    <t xml:space="preserve">Actual Result</t>
  </si>
  <si>
    <t xml:space="preserve">Status</t>
  </si>
  <si>
    <t xml:space="preserve">Remarks</t>
  </si>
  <si>
    <t xml:space="preserve">BUY-ACCT-001</t>
  </si>
  <si>
    <t xml:space="preserve">Account &amp; Security</t>
  </si>
  <si>
    <t xml:space="preserve">Edit profile with valid data</t>
  </si>
  <si>
    <t xml:space="preserve">Medium</t>
  </si>
  <si>
    <t xml:space="preserve">Logged in as Buyer 1. My Profile is open.</t>
  </si>
  <si>
    <t xml:space="preserve">1. Change First Name to the test data and upload the photo.
2. Tap Save.
3. Pull to refresh, then log out and log back in.</t>
  </si>
  <si>
    <t xml:space="preserve">First Name: Juan Miguel Jr.
Photo: review_photo.jpg</t>
  </si>
  <si>
    <t xml:space="preserve">A success message is shown. After a pull-to-refresh and re-login the new name and photo are shown on the profile screen and the account (Me) tab. Email and phone are unchanged.</t>
  </si>
  <si>
    <t xml:space="preserve">BUY-ACCT-002</t>
  </si>
  <si>
    <t xml:space="preserve">Profile field validation</t>
  </si>
  <si>
    <t xml:space="preserve">1. Enter each value, one per attempt, and save.</t>
  </si>
  <si>
    <t xml:space="preserve">First Name: empty (reject)
First Name: Juan123 (reject)
First Name: J (reject)
Photo: size_5.1MB.jpg (reject)
Photo: renamed_exe.jpg (reject)</t>
  </si>
  <si>
    <t xml:space="preserve">Each is rejected with a field message; the saved profile is unchanged after a pull-to-refresh.</t>
  </si>
  <si>
    <t xml:space="preserve">BUY-ACCT-003</t>
  </si>
  <si>
    <t xml:space="preserve">Change password with the correct old password</t>
  </si>
  <si>
    <t xml:space="preserve">High</t>
  </si>
  <si>
    <t xml:space="preserve">Logged in as Buyer 1.</t>
  </si>
  <si>
    <t xml:space="preserve">1. Open Change Password and enter the test data.
2. Save.
3. Log out. Log in with the old password.
4. Log in with the new password.</t>
  </si>
  <si>
    <t xml:space="preserve">Old: Mamimili@2026
New: Mamimili@2027
Confirm: Mamimili@2027</t>
  </si>
  <si>
    <t xml:space="preserve">Password changes with a success message. The old password is rejected; the new one works.</t>
  </si>
  <si>
    <t xml:space="preserve">BUY-ACCT-004</t>
  </si>
  <si>
    <t xml:space="preserve">Change password with a wrong old password</t>
  </si>
  <si>
    <t xml:space="preserve">1. Enter a wrong old password and a valid new one.
2. Save.
3. Log out and log in with Mamimili@2026.</t>
  </si>
  <si>
    <t xml:space="preserve">Old: Wrong@2026
New: Mamimili@2027</t>
  </si>
  <si>
    <t xml:space="preserve">Blocked with 'current password is incorrect'. The original password still works.</t>
  </si>
  <si>
    <t xml:space="preserve">BUY-ACCT-005</t>
  </si>
  <si>
    <t xml:space="preserve">New password breaks the rule</t>
  </si>
  <si>
    <t xml:space="preserve">1. Enter the correct old password and each new password, one per attempt.</t>
  </si>
  <si>
    <t xml:space="preserve">Mami@26 (7 characters)
mamimili@2027 (no uppercase)
MAMIMILI@2027 (no lowercase)
Mamimili@abcd (no number)
Mamimili2027 (no special)
Confirm: Mamimili@2028 (does not match)
New = old: Mamimili@2026</t>
  </si>
  <si>
    <t xml:space="preserve">Each is rejected with the specific rule that failed. The password is unchanged.</t>
  </si>
  <si>
    <t xml:space="preserve">BUY-ACCT-006</t>
  </si>
  <si>
    <t xml:space="preserve">Change email with verification</t>
  </si>
  <si>
    <t xml:space="preserve">1. Change the email to the spare email.
2. Before entering the OTP, log out and log in with the old email.
3. Enter the OTP from the new email.
4. Log out and log in with each email.</t>
  </si>
  <si>
    <t xml:space="preserve">New email: buyer.test01@example.com</t>
  </si>
  <si>
    <t xml:space="preserve">Before verification the old email still logs in and the profile still shows it. After the correct OTP, only the new email logs in; the old one is rejected.</t>
  </si>
  <si>
    <t xml:space="preserve">BUY-ACCT-007</t>
  </si>
  <si>
    <t xml:space="preserve">Change email: wrong or expired OTP</t>
  </si>
  <si>
    <t xml:space="preserve">1. Request the change and enter a wrong OTP.
2. Wait 5 minutes and enter the correct (now expired) OTP.</t>
  </si>
  <si>
    <t xml:space="preserve">Wrong OTP: 000000</t>
  </si>
  <si>
    <t xml:space="preserve">Both are rejected. The email is not changed.</t>
  </si>
  <si>
    <t xml:space="preserve">BUY-ACCT-008</t>
  </si>
  <si>
    <t xml:space="preserve">Change email to one already used</t>
  </si>
  <si>
    <t xml:space="preserve">1. Change the email to each value.</t>
  </si>
  <si>
    <t xml:space="preserve">anamarie.reyes@example.com
MARIACLARA.SANTOS@example.com (seller, different case)</t>
  </si>
  <si>
    <t xml:space="preserve">Both are blocked with 'email already in use' and no OTP is sent.</t>
  </si>
  <si>
    <t xml:space="preserve">BUY-ACCT-009</t>
  </si>
  <si>
    <t xml:space="preserve">Change phone with verification and format</t>
  </si>
  <si>
    <t xml:space="preserve">1. Change the phone to each value; complete the OTP for the valid one.</t>
  </si>
  <si>
    <t xml:space="preserve">0917123 (reject)
09173456789 (Buyer 2's, reject)
09170000001 (accept after OTP)</t>
  </si>
  <si>
    <t xml:space="preserve">Invalid and duplicate numbers are rejected without an OTP. The valid number is saved only after verification.</t>
  </si>
  <si>
    <t xml:space="preserve">BUY-ACCT-010</t>
  </si>
  <si>
    <t xml:space="preserve">[Mobile] Change the profile photo with the camera and the gallery</t>
  </si>
  <si>
    <t xml:space="preserve">Logged in as Buyer 1 on the test phone. My Profile is open. review_photo.jpg is in the phone's Photos.</t>
  </si>
  <si>
    <t xml:space="preserve">1. Tap the photo, choose Take Photo, take a picture and save.
2. Tap the photo again, choose Gallery, pick review_photo.jpg and save.
3. Turn off camera access for the app in phone Settings and tap Take Photo again.</t>
  </si>
  <si>
    <t xml:space="preserve">Steps 1 and 2: the new photo shows on the profile and is still there after the app is closed and reopened. Step 3: no crash; a message says camera access is off and offers Settings; Gallery still works.</t>
  </si>
  <si>
    <t xml:space="preserve">A16, M6, M7</t>
  </si>
  <si>
    <t xml:space="preserve">BUY-ACCT-011</t>
  </si>
  <si>
    <t xml:space="preserve">[Mobile] Password change ends the session on the other phone</t>
  </si>
  <si>
    <t xml:space="preserve">Buyer 1 is logged in on two phones (or a phone and an emulator).</t>
  </si>
  <si>
    <t xml:space="preserve">1. On phone A, change the password to Mamimili@2027.
2. On phone B, pull to refresh or open any screen.
3. On phone B, log in with the old password, then the new one.
4. Change the password back to Mamimili@2026.</t>
  </si>
  <si>
    <t xml:space="preserve">Old: Mamimili@2026
New: Mamimili@2027</t>
  </si>
  <si>
    <t xml:space="preserve">Phone B's session ends and the login screen is shown. The old password is rejected and the new one works. Phone A stays logged in.</t>
  </si>
  <si>
    <t xml:space="preserve">BUY-ACCT-012</t>
  </si>
  <si>
    <t xml:space="preserve">[Mobile] Stay logged in, then log out and press Back</t>
  </si>
  <si>
    <t xml:space="preserve">1. Force-close the app (swipe it away) and reopen it.
2. Tap Log Out.
3. Press Android Back (or swipe back) several times, then reopen the app from recent apps.</t>
  </si>
  <si>
    <t xml:space="preserve">Step 1: the app opens on the home screen, still logged in as Juan Miguel. Steps 2–3: the login screen stays; no account screen appears again and the app does not log back in by itself.</t>
  </si>
  <si>
    <t xml:space="preserve">M8, M9</t>
  </si>
  <si>
    <t xml:space="preserve">BUY-ADDR-001</t>
  </si>
  <si>
    <t xml:space="preserve">Address Book</t>
  </si>
  <si>
    <t xml:space="preserve">Add an address with valid data</t>
  </si>
  <si>
    <t xml:space="preserve">Logged in as Buyer 1. Address Book is open with ADDR-1 only.</t>
  </si>
  <si>
    <t xml:space="preserve">1. Tap Add Address.
2. Select Region, Province, City and Barangay in order.
3. Fill in street, recipient and phone.
4. Save and pull-to-refresh.</t>
  </si>
  <si>
    <t xml:space="preserve">ADDR-2 (Makati office)</t>
  </si>
  <si>
    <t xml:space="preserve">ADDR-2 is listed with exactly the entered values and is not default. ADDR-1 is still default.</t>
  </si>
  <si>
    <t xml:space="preserve">BUY-ADDR-002</t>
  </si>
  <si>
    <t xml:space="preserve">Region → city → barangay cascade</t>
  </si>
  <si>
    <t xml:space="preserve">1. Select NCR; open the City list.
2. Select Makati; open the Barangay list.
3. Change Region to Region VII.</t>
  </si>
  <si>
    <t xml:space="preserve">Each list shows only places under the one above (no Cebu cities under NCR). Changing Region clears City and Barangay.</t>
  </si>
  <si>
    <t xml:space="preserve">BUY-ADDR-003</t>
  </si>
  <si>
    <t xml:space="preserve">Each required field left blank</t>
  </si>
  <si>
    <t xml:space="preserve">1. Fill in all fields, clear one and save; repeat for each.</t>
  </si>
  <si>
    <t xml:space="preserve">Clear in turn: Recipient, Phone, Region, City, Barangay, Street</t>
  </si>
  <si>
    <t xml:space="preserve">Each attempt is blocked with a message on the blank field. No address is added.</t>
  </si>
  <si>
    <t xml:space="preserve">BUY-ADDR-004</t>
  </si>
  <si>
    <t xml:space="preserve">Phone number format</t>
  </si>
  <si>
    <t xml:space="preserve">1. Enter each phone number and save.</t>
  </si>
  <si>
    <t xml:space="preserve">0917123 (reject)
091712345678 (reject)
09171234567 (accept)
+639171234567 (accept)</t>
  </si>
  <si>
    <t xml:space="preserve">Only the two valid formats save.</t>
  </si>
  <si>
    <t xml:space="preserve">BUY-ADDR-005</t>
  </si>
  <si>
    <t xml:space="preserve">Address book limit</t>
  </si>
  <si>
    <t xml:space="preserve">Low</t>
  </si>
  <si>
    <t xml:space="preserve">Logged in as Buyer 1. 9 addresses exist.</t>
  </si>
  <si>
    <t xml:space="preserve">1. Add a 10th.
2. Try an 11th.</t>
  </si>
  <si>
    <t xml:space="preserve">The 10th saves. The 11th is blocked with a limit message.</t>
  </si>
  <si>
    <t xml:space="preserve">BUY-ADDR-006</t>
  </si>
  <si>
    <t xml:space="preserve">Set a different default address</t>
  </si>
  <si>
    <t xml:space="preserve">1. Set ADDR-2 as default.
2. Open checkout.</t>
  </si>
  <si>
    <t xml:space="preserve">Only ADDR-2 shows Default and checkout pre-selects it.</t>
  </si>
  <si>
    <t xml:space="preserve">BUY-ADDR-007</t>
  </si>
  <si>
    <t xml:space="preserve">Delete the default address</t>
  </si>
  <si>
    <t xml:space="preserve">Logged in as Buyer 1. ADDR-1 is default; ADDR-2 exists.</t>
  </si>
  <si>
    <t xml:space="preserve">1. Try to delete ADDR-1.
2. Set ADDR-2 as default, then delete ADDR-1.</t>
  </si>
  <si>
    <t xml:space="preserve">The first attempt is blocked with a message to choose another default first. The second succeeds. There is always exactly one default.</t>
  </si>
  <si>
    <t xml:space="preserve">BUY-ADDR-008</t>
  </si>
  <si>
    <t xml:space="preserve">Edit or delete an address used by an active order</t>
  </si>
  <si>
    <t xml:space="preserve">Logged in as Buyer 1. A To Ship order uses ADDR-2.</t>
  </si>
  <si>
    <t xml:space="preserve">1. Change ADDR-2's street, then delete ADDR-2.
2. Open the order as Buyer 1 and Seller 1, and print the waybill.</t>
  </si>
  <si>
    <t xml:space="preserve">Street: 14F Pacific Tower</t>
  </si>
  <si>
    <t xml:space="preserve">The order, the seller's view and the waybill still show the original ADDR-2 exactly.</t>
  </si>
  <si>
    <t xml:space="preserve">BUY-ADDR-009</t>
  </si>
  <si>
    <t xml:space="preserve">Cannot open another buyer's address</t>
  </si>
  <si>
    <t xml:space="preserve">1. Open Edit on ADDR-1 and change the address ID in the deep link or API request to ADDR-3's (Buyer 2).</t>
  </si>
  <si>
    <t xml:space="preserve">Access is denied. No part of ADDR-3 is shown.</t>
  </si>
  <si>
    <t xml:space="preserve">A22, M11</t>
  </si>
  <si>
    <t xml:space="preserve">BUY-ADDR-010</t>
  </si>
  <si>
    <t xml:space="preserve">[Mobile] Use My Location with permission allowed and denied</t>
  </si>
  <si>
    <t xml:space="preserve">Logged in as Buyer 1. Add Address is open. Location is on. (If the app has no location feature, mark Not Run and write 'Not supported' in Remarks.)</t>
  </si>
  <si>
    <t xml:space="preserve">1. Tap Use My Location (or the map pin) and allow location access.
2. Discard the draft, turn off location access for the app in phone Settings, and tap Use My Location again.</t>
  </si>
  <si>
    <t xml:space="preserve">Step 1: Region, City and Barangay are filled from the location and can still be edited before saving. Step 2: no crash; a message explains that location is off; the address can still be entered by hand.</t>
  </si>
  <si>
    <t xml:space="preserve">BUY-ADDR-011</t>
  </si>
  <si>
    <t xml:space="preserve">[Mobile] Keyboard on the address form</t>
  </si>
  <si>
    <t xml:space="preserve">Logged in as Buyer 1. Add Address is open.</t>
  </si>
  <si>
    <t xml:space="preserve">1. Tap Phone, then Street, then Recipient.
2. With the keyboard open, scroll to Save.</t>
  </si>
  <si>
    <t xml:space="preserve">Phone opens a number pad. Street and Recipient open a text keyboard. Save can be reached and tapped while the keyboard is open or after tapping Done.</t>
  </si>
  <si>
    <t xml:space="preserve">M2, M12</t>
  </si>
  <si>
    <t xml:space="preserve">BUY-SRCH-001</t>
  </si>
  <si>
    <t xml:space="preserve">Browse, Search &amp; Filter</t>
  </si>
  <si>
    <t xml:space="preserve">Browse a platform category</t>
  </si>
  <si>
    <t xml:space="preserve">1. Open the platform category Home &amp; Living.</t>
  </si>
  <si>
    <t xml:space="preserve">Every Active product in Home &amp; Living is listed, including P-02. No product from other categories appears.</t>
  </si>
  <si>
    <t xml:space="preserve">BUY-SRCH-002</t>
  </si>
  <si>
    <t xml:space="preserve">Store screen with store categories</t>
  </si>
  <si>
    <t xml:space="preserve">1. Open Seller 1's store screen.
2. Tap Home Decor, then Lamps.</t>
  </si>
  <si>
    <t xml:space="preserve">Store categories match CAT-1 to CAT-5. Lamps shows P-03 only.</t>
  </si>
  <si>
    <t xml:space="preserve">BUY-SRCH-003</t>
  </si>
  <si>
    <t xml:space="preserve">Search: exact and partial match</t>
  </si>
  <si>
    <t xml:space="preserve">1. Search each term.</t>
  </si>
  <si>
    <t xml:space="preserve">Rattan Fruit Basket
rattan
RATTAN
'  rattan  '</t>
  </si>
  <si>
    <t xml:space="preserve">P-02 appears for all four terms (case and outer spaces do not matter).</t>
  </si>
  <si>
    <t xml:space="preserve">BUY-SRCH-004</t>
  </si>
  <si>
    <t xml:space="preserve">Search: typo and no results</t>
  </si>
  <si>
    <t xml:space="preserve">Ratan baskit
zzqxw</t>
  </si>
  <si>
    <t xml:space="preserve">The typo returns P-02 or a 'Did you mean rattan basket?' suggestion. zzqxw shows a clear 'no results' state, not an error.</t>
  </si>
  <si>
    <t xml:space="preserve">BUY-SRCH-005</t>
  </si>
  <si>
    <t xml:space="preserve">Search: special characters and injection</t>
  </si>
  <si>
    <t xml:space="preserve">1. Search each string.
2. Check the screen and the app log (Android Logcat or Xcode console, if available).</t>
  </si>
  <si>
    <t xml:space="preserve">%
' OR '1'='1
&lt;script&gt;alert(1)&lt;/script&gt;
"&gt;&lt;img src=x onerror=alert(1)&gt;</t>
  </si>
  <si>
    <t xml:space="preserve">Each returns no results or literal matches. No error screen, no pop-up, no list of all products from the SQL string, and the app log shows no script run.</t>
  </si>
  <si>
    <t xml:space="preserve">BUY-SRCH-006</t>
  </si>
  <si>
    <t xml:space="preserve">Empty search</t>
  </si>
  <si>
    <t xml:space="preserve">1. Tap Search with an empty box and with spaces only.</t>
  </si>
  <si>
    <t xml:space="preserve">The search is not submitted (or the normal listing is shown). No error screen.</t>
  </si>
  <si>
    <t xml:space="preserve">BUY-SRCH-007</t>
  </si>
  <si>
    <t xml:space="preserve">Price range filter</t>
  </si>
  <si>
    <t xml:space="preserve">1. Apply each price range.</t>
  </si>
  <si>
    <t xml:space="preserve">₱300 – ₱450 (P-02 included)
₱451 – ₱1,000 (P-02 excluded)
₱450 – ₱450 (P-02 only)
Min ₱1,000, Max ₱100
Min -1</t>
  </si>
  <si>
    <t xml:space="preserve">Range ends are inclusive. Min greater than Max and negative values are rejected with a message and the results are not filtered by them.</t>
  </si>
  <si>
    <t xml:space="preserve">BUY-SRCH-008</t>
  </si>
  <si>
    <t xml:space="preserve">Combined filters</t>
  </si>
  <si>
    <t xml:space="preserve">1. Apply rating 4+, category Home &amp; Living and location Metro Manila together.
2. Clear one filter at a time.</t>
  </si>
  <si>
    <t xml:space="preserve">Only products matching all active filters are shown. Clearing filters widens the results correctly.</t>
  </si>
  <si>
    <t xml:space="preserve">BUY-SRCH-009</t>
  </si>
  <si>
    <t xml:space="preserve">Sort and loading more results</t>
  </si>
  <si>
    <t xml:space="preserve">1. Sort by price low–high, high–low, latest and best-selling.
2. Scroll down until more results load (or go to the next page of results), then scroll back to the top.</t>
  </si>
  <si>
    <t xml:space="preserve">Each sort orders the results correctly. No product repeats or disappears as more results load or when scrolling back.</t>
  </si>
  <si>
    <t xml:space="preserve">BUY-SRCH-010</t>
  </si>
  <si>
    <t xml:space="preserve">Inactive, deleted and draft products never appear</t>
  </si>
  <si>
    <t xml:space="preserve">Seller 1 has one inactive product, one deleted product and one draft.</t>
  </si>
  <si>
    <t xml:space="preserve">1. Search for each by exact name.
2. Browse their category and the store screen.
3. Open each product's share link (copied with Share before it was hidden or deleted).</t>
  </si>
  <si>
    <t xml:space="preserve">None appears in search, category or store screens. Each share link opens an 'unavailable' or 'not found' screen in the app.</t>
  </si>
  <si>
    <t xml:space="preserve">BUY-SRCH-011</t>
  </si>
  <si>
    <t xml:space="preserve">Products of a vacation store</t>
  </si>
  <si>
    <t xml:space="preserve">Seller 1 is on vacation.</t>
  </si>
  <si>
    <t xml:space="preserve">1. Search for P-02.</t>
  </si>
  <si>
    <t xml:space="preserve">P-02 appears with the 'On vacation' label and cannot be added to the cart.</t>
  </si>
  <si>
    <t xml:space="preserve">BUY-SRCH-012</t>
  </si>
  <si>
    <t xml:space="preserve">[Mobile] Search key on the keyboard and pull to refresh</t>
  </si>
  <si>
    <t xml:space="preserve">1. Type 'rattan' and tap the Search key on the keyboard (not an on-screen button).
2. Pull down on the results.</t>
  </si>
  <si>
    <t xml:space="preserve">rattan</t>
  </si>
  <si>
    <t xml:space="preserve">Step 1 runs the search and closes the keyboard. Step 2 reloads the results; the same products appear with no duplicates.</t>
  </si>
  <si>
    <t xml:space="preserve">BUY-SRCH-013</t>
  </si>
  <si>
    <t xml:space="preserve">[Mobile] Search with no internet</t>
  </si>
  <si>
    <t xml:space="preserve">1. Turn on Airplane mode and search for 'rattan'.
2. Turn Airplane mode off and tap Retry (or search again).</t>
  </si>
  <si>
    <t xml:space="preserve">Step 1 shows a no-internet message, not an empty 'no results' state and not a crash. Step 2 shows P-02.</t>
  </si>
  <si>
    <t xml:space="preserve">BUY-PDP-001</t>
  </si>
  <si>
    <t xml:space="preserve">Product Detail Page</t>
  </si>
  <si>
    <t xml:space="preserve">All variation types must be selected</t>
  </si>
  <si>
    <t xml:space="preserve">Logged in as Buyer 1. P-01 is open.</t>
  </si>
  <si>
    <t xml:space="preserve">1. Tap Add to Cart with nothing selected.
2. Select Color only and tap Add to Cart.
3. Select Size too and tap Add to Cart.
4. Repeat the first two steps with Buy Now.</t>
  </si>
  <si>
    <t xml:space="preserve">Without both selections, Add to Cart and Buy Now show 'Please select a variation' and nothing is added. With both, the item is added once.</t>
  </si>
  <si>
    <t xml:space="preserve">BUY-PDP-002</t>
  </si>
  <si>
    <t xml:space="preserve">Selecting a variant updates price, stock and image</t>
  </si>
  <si>
    <t xml:space="preserve">1. Select Natural-S, then Natural-L, then Black-S.</t>
  </si>
  <si>
    <t xml:space="preserve">Price: ₱199 → ₱299 → ₱199. Stock: 10 → 5 → 10. Image switches to the colour's image.</t>
  </si>
  <si>
    <t xml:space="preserve">BUY-PDP-003</t>
  </si>
  <si>
    <t xml:space="preserve">Out-of-stock variant disabled</t>
  </si>
  <si>
    <t xml:space="preserve">1. Select Black and try to tap M.</t>
  </si>
  <si>
    <t xml:space="preserve">Black-M stock 0</t>
  </si>
  <si>
    <t xml:space="preserve">M is disabled for Black and cannot be selected.</t>
  </si>
  <si>
    <t xml:space="preserve">BUY-PDP-004</t>
  </si>
  <si>
    <t xml:space="preserve">Quantity limits</t>
  </si>
  <si>
    <t xml:space="preserve">Logged in as Buyer 1. P-02 stock is 20.</t>
  </si>
  <si>
    <t xml:space="preserve">1. Type each quantity and tap Add to Cart.
2. Use the + button to go past 20.</t>
  </si>
  <si>
    <t xml:space="preserve">0 (reject)
-1 (reject)
1 (accept)
20 (accept)
21 (reject)
1.5 (reject)
abc (reject)</t>
  </si>
  <si>
    <t xml:space="preserve">Only 1 and 20 are added. The + button stops at 20. Invalid values show a message and the cart is unchanged.</t>
  </si>
  <si>
    <t xml:space="preserve">BUY-PDP-005</t>
  </si>
  <si>
    <t xml:space="preserve">Per-buyer purchase limit</t>
  </si>
  <si>
    <t xml:space="preserve">Logged in as Buyer 1. Buyer 1 has not bought P-07 before.</t>
  </si>
  <si>
    <t xml:space="preserve">1. Add 2 × P-07 and buy them.
2. Try to add 1 more P-07.</t>
  </si>
  <si>
    <t xml:space="preserve">P-07 limit 2</t>
  </si>
  <si>
    <t xml:space="preserve">The first 2 are bought. The 3rd is blocked with a limit message, including in a new cart.</t>
  </si>
  <si>
    <t xml:space="preserve">BUY-PDP-006</t>
  </si>
  <si>
    <t xml:space="preserve">Sale price, countdown and vouchers shown</t>
  </si>
  <si>
    <t xml:space="preserve">A flash sale is live on P-02 (₱299). MCH50 is claimable.</t>
  </si>
  <si>
    <t xml:space="preserve">1. Open P-02.</t>
  </si>
  <si>
    <t xml:space="preserve">Shows ₱299 with ₱450 struck through, a countdown to the slot end, the flash units left, and MCH50 with a Claim button.</t>
  </si>
  <si>
    <t xml:space="preserve">BUY-PDP-007</t>
  </si>
  <si>
    <t xml:space="preserve">Buy Now checks out only that item</t>
  </si>
  <si>
    <t xml:space="preserve">Logged in as Buyer 1. Cart already has P-05.</t>
  </si>
  <si>
    <t xml:space="preserve">1. Select P-01 Natural-M and tap Buy Now.</t>
  </si>
  <si>
    <t xml:space="preserve">Checkout opens with only P-01 Natural-M × 1. P-05 stays in the cart and is not in this checkout.</t>
  </si>
  <si>
    <t xml:space="preserve">BUY-PDP-008</t>
  </si>
  <si>
    <t xml:space="preserve">Product screen of an unavailable product</t>
  </si>
  <si>
    <t xml:space="preserve">1. Open the share link of a deleted product and of an inactive product (copied with Share before the change).</t>
  </si>
  <si>
    <t xml:space="preserve">Both open a clear 'unavailable' screen with no Add to Cart. No crash or error screen.</t>
  </si>
  <si>
    <t xml:space="preserve">BUY-PDP-009</t>
  </si>
  <si>
    <t xml:space="preserve">[Mobile] Swipe and zoom product images</t>
  </si>
  <si>
    <t xml:space="preserve">Logged in as Buyer 1. P-01 is open with Natural-M selected.</t>
  </si>
  <si>
    <t xml:space="preserve">1. Swipe left and right through the images.
2. Tap an image and pinch to zoom.
3. Close the zoomed view.</t>
  </si>
  <si>
    <t xml:space="preserve">Images change in the uploaded order with a position indicator. Zoom works and the image stays sharp. Closing returns to P-01 with Natural-M still selected.</t>
  </si>
  <si>
    <t xml:space="preserve">BUY-PDP-010</t>
  </si>
  <si>
    <t xml:space="preserve">[Mobile] Share link opens the product in the app</t>
  </si>
  <si>
    <t xml:space="preserve">Buyer 1 is on phone A. Buyer 2 has the app on phone B.</t>
  </si>
  <si>
    <t xml:space="preserve">1. On P-02, tap Share and send the link to phone B (for example by SMS or Messenger).
2. On phone B, tap the link.
3. Open the same link on a phone without the app.</t>
  </si>
  <si>
    <t xml:space="preserve">Phone B opens P-02 directly in the app. Without the app, the link opens a mobile web page for P-02 or the app's store page. Never a blank or error page.</t>
  </si>
  <si>
    <t xml:space="preserve">BUY-WISH-001</t>
  </si>
  <si>
    <t xml:space="preserve">Wishlist &amp; Follow Store</t>
  </si>
  <si>
    <t xml:space="preserve">Add and remove a wishlist item</t>
  </si>
  <si>
    <t xml:space="preserve">1. Add P-02 to the wishlist.
2. Open Wishlist.
3. Remove P-02 and pull-to-refresh.</t>
  </si>
  <si>
    <t xml:space="preserve">P-02 appears once, then is gone after removal. The heart on P-02's screen matches each state.</t>
  </si>
  <si>
    <t xml:space="preserve">BUY-WISH-002</t>
  </si>
  <si>
    <t xml:space="preserve">Add the same item twice quickly</t>
  </si>
  <si>
    <t xml:space="preserve">1. Double-tap the wishlist heart on P-02.
2. Open Wishlist.</t>
  </si>
  <si>
    <t xml:space="preserve">P-02 appears at most once, and the heart reflects the final state.</t>
  </si>
  <si>
    <t xml:space="preserve">BUY-WISH-003</t>
  </si>
  <si>
    <t xml:space="preserve">Wishlist item goes out of stock or is deleted</t>
  </si>
  <si>
    <t xml:space="preserve">P-02 and P-05 are in Buyer 1's wishlist.</t>
  </si>
  <si>
    <t xml:space="preserve">1. Seller 1 sets P-02 stock to 0. Seller 2 deletes P-05.
2. Open Wishlist.</t>
  </si>
  <si>
    <t xml:space="preserve">P-02 shows Sold out with Add to Cart disabled. P-05 stays listed as Unavailable with no Add to Cart. The screen shows no error.</t>
  </si>
  <si>
    <t xml:space="preserve">BUY-WISH-004</t>
  </si>
  <si>
    <t xml:space="preserve">Follow and unfollow a store</t>
  </si>
  <si>
    <t xml:space="preserve">Logged in as Buyer 1. Seller 1 has N followers.</t>
  </si>
  <si>
    <t xml:space="preserve">1. Follow Seller 1.
2. Check the follower count and Following list.
3. Unfollow and check again.</t>
  </si>
  <si>
    <t xml:space="preserve">Count becomes N+1 and Seller 1 is in Following; after unfollowing, N and removed.</t>
  </si>
  <si>
    <t xml:space="preserve">BUY-WISH-005</t>
  </si>
  <si>
    <t xml:space="preserve">Wishlist and follow require login</t>
  </si>
  <si>
    <t xml:space="preserve">Logged out.</t>
  </si>
  <si>
    <t xml:space="preserve">1. Tap the wishlist heart on P-02.
2. Tap Follow on Seller 1.</t>
  </si>
  <si>
    <t xml:space="preserve">Each opens the login screen; nothing is saved without an account.</t>
  </si>
  <si>
    <t xml:space="preserve">BUY-CART-001</t>
  </si>
  <si>
    <t xml:space="preserve">Cart</t>
  </si>
  <si>
    <t xml:space="preserve">Same variant added twice merges</t>
  </si>
  <si>
    <t xml:space="preserve">Logged in as Buyer 1. Cart is empty.</t>
  </si>
  <si>
    <t xml:space="preserve">1. Add P-01 Natural-M × 1.
2. Add P-01 Natural-M × 2.
3. Open the cart.</t>
  </si>
  <si>
    <t xml:space="preserve">One line, Natural-M × 3, subtotal ₱747.00.</t>
  </si>
  <si>
    <t xml:space="preserve">BUY-CART-002</t>
  </si>
  <si>
    <t xml:space="preserve">Different variants stay separate</t>
  </si>
  <si>
    <t xml:space="preserve">1. Add P-01 Natural-M and P-01 Black-S.</t>
  </si>
  <si>
    <t xml:space="preserve">Two separate lines with their own prices (₱249 and ₱199).</t>
  </si>
  <si>
    <t xml:space="preserve">BUY-CART-003</t>
  </si>
  <si>
    <t xml:space="preserve">Items grouped by store</t>
  </si>
  <si>
    <t xml:space="preserve">1. Add P-02 (Seller 1) and P-05 (Seller 2).</t>
  </si>
  <si>
    <t xml:space="preserve">Two store groups with store names, each listing only its own items.</t>
  </si>
  <si>
    <t xml:space="preserve">BUY-CART-004</t>
  </si>
  <si>
    <t xml:space="preserve">Select and deselect items for checkout</t>
  </si>
  <si>
    <t xml:space="preserve">Logged in as Buyer 1. Cart has P-01 Natural-M, P-02 and P-05, all deselected.</t>
  </si>
  <si>
    <t xml:space="preserve">1. Select P-05 only and note the subtotal.
2. Tap Seller 1's store checkbox.
3. Deselect P-05.
4. Tap Check Out.</t>
  </si>
  <si>
    <t xml:space="preserve">Subtotals: ₱399, then ₱1,098, then ₱699. Checkout contains only P-01 and P-02; P-05 stays in the cart.</t>
  </si>
  <si>
    <t xml:space="preserve">BUY-CART-005</t>
  </si>
  <si>
    <t xml:space="preserve">Change quantity at the limits</t>
  </si>
  <si>
    <t xml:space="preserve">Logged in as Buyer 1. P-02 in the cart, stock 20.</t>
  </si>
  <si>
    <t xml:space="preserve">1. Set quantity 0, 1, 20 and 21.</t>
  </si>
  <si>
    <t xml:space="preserve">0 is not accepted (or asks to remove the item). 1 and 20 are accepted. 21 is blocked with 'only 20 available'.</t>
  </si>
  <si>
    <t xml:space="preserve">BUY-CART-006</t>
  </si>
  <si>
    <t xml:space="preserve">Price changes while in the cart</t>
  </si>
  <si>
    <t xml:space="preserve">P-02 (₱450) in the cart.</t>
  </si>
  <si>
    <t xml:space="preserve">1. Seller 1 changes P-02 to ₱420.
2. Pull to refresh the cart.</t>
  </si>
  <si>
    <t xml:space="preserve">The cart shows ₱420.00 and the subtotal updates.</t>
  </si>
  <si>
    <t xml:space="preserve">BUY-CART-007</t>
  </si>
  <si>
    <t xml:space="preserve">Item goes out of stock or is deleted while in the cart</t>
  </si>
  <si>
    <t xml:space="preserve">P-02 and P-05 in the cart, plus P-06.</t>
  </si>
  <si>
    <t xml:space="preserve">1. Seller 1 sets P-02 stock to 0. Seller 2 deletes P-05.
2. Open the cart and try to select P-02 and P-05.
3. Check out P-06.</t>
  </si>
  <si>
    <t xml:space="preserve">P-02 and P-05 are marked unavailable and cannot be selected. P-06 checks out normally.</t>
  </si>
  <si>
    <t xml:space="preserve">BUY-CART-008</t>
  </si>
  <si>
    <t xml:space="preserve">Cart persists after logout and on another device</t>
  </si>
  <si>
    <t xml:space="preserve">Logged in as Buyer 1. Cart has 2 items.</t>
  </si>
  <si>
    <t xml:space="preserve">1. Log out and back in.
2. Log in on a second phone.</t>
  </si>
  <si>
    <t xml:space="preserve">The same 2 items and quantities appear in both phones.</t>
  </si>
  <si>
    <t xml:space="preserve">BUY-CART-009</t>
  </si>
  <si>
    <t xml:space="preserve">Remove an item</t>
  </si>
  <si>
    <t xml:space="preserve">1. Tap Delete on a line and confirm.</t>
  </si>
  <si>
    <t xml:space="preserve">The line is gone after a pull-to-refresh and the subtotal updates.</t>
  </si>
  <si>
    <t xml:space="preserve">BUY-CART-010</t>
  </si>
  <si>
    <t xml:space="preserve">Cannot change another buyer's cart</t>
  </si>
  <si>
    <t xml:space="preserve">1. Capture the update-quantity request and change the cart line ID to one of Buyer 2's.</t>
  </si>
  <si>
    <t xml:space="preserve">Rejected (403 or not found). Buyer 2's cart is unchanged.</t>
  </si>
  <si>
    <t xml:space="preserve">BUY-CART-011</t>
  </si>
  <si>
    <t xml:space="preserve">[Mobile] Change quantity with no internet</t>
  </si>
  <si>
    <t xml:space="preserve">Logged in as Buyer 1. Cart has P-02 × 1.</t>
  </si>
  <si>
    <t xml:space="preserve">1. Turn on Airplane mode and change P-02 to 3.
2. Turn Airplane mode off and pull to refresh the cart.</t>
  </si>
  <si>
    <t xml:space="preserve">P-02 quantity 3</t>
  </si>
  <si>
    <t xml:space="preserve">Step 1: a no-internet message; the quantity goes back to 1 or is clearly marked not saved. Step 2: the cart shows what the server saved. The phone never shows 3 while the server has 1.</t>
  </si>
  <si>
    <t xml:space="preserve">BUY-CART-012</t>
  </si>
  <si>
    <t xml:space="preserve">[Mobile] Cart badge count</t>
  </si>
  <si>
    <t xml:space="preserve">1. Add P-02, then P-05.
2. Remove P-02.
3. Force-close and reopen the app.</t>
  </si>
  <si>
    <t xml:space="preserve">The cart icon badge shows 1, 2, then 1, and still 1 after reopening. (Note in Remarks whether the badge counts lines or units.)</t>
  </si>
  <si>
    <t xml:space="preserve">BUY-VOU-001</t>
  </si>
  <si>
    <t xml:space="preserve">Vouchers &amp; Promotions</t>
  </si>
  <si>
    <t xml:space="preserve">Claim a voucher into the wallet</t>
  </si>
  <si>
    <t xml:space="preserve">1. On Seller 1's store screen, claim MCH50.
2. Open My Vouchers.
3. Try to claim MCH50 again.</t>
  </si>
  <si>
    <t xml:space="preserve">MCH50 is in the wallet with its rule and end date. The button changes to Claimed and a second claim is not possible.</t>
  </si>
  <si>
    <t xml:space="preserve">BUY-VOU-002</t>
  </si>
  <si>
    <t xml:space="preserve">Apply a store voucher</t>
  </si>
  <si>
    <t xml:space="preserve">Logged in as Buyer 1. MCH50 claimed. Cart: P-02 (₱450).</t>
  </si>
  <si>
    <t xml:space="preserve">1. Open checkout and apply MCH50.</t>
  </si>
  <si>
    <t xml:space="preserve">Seller 1's group shows −₱50.00 and the total is ₱450 + ₱50 shipping − ₱50 = ₱450.00.</t>
  </si>
  <si>
    <t xml:space="preserve">BUY-VOU-003</t>
  </si>
  <si>
    <t xml:space="preserve">Stacking per the agreed rule</t>
  </si>
  <si>
    <t xml:space="preserve">Logged in as Buyer 1. Cart holds the worked checkout example items (Seller 1: Tote Natural-M, Rattan Basket; Seller 2: USB-C Charger). MCH50, PLAT100 and FREESHIP are claimed. ADDR-1 is default.</t>
  </si>
  <si>
    <t xml:space="preserve">1. Apply MCH50, PLAT100 and FREESHIP.
2. Select MCH10 for Seller 1 as well.
3. Apply RVSECRET to Seller 2.</t>
  </si>
  <si>
    <t xml:space="preserve">Worked checkout example</t>
  </si>
  <si>
    <t xml:space="preserve">MCH50 + PLAT100 + FREESHIP apply; total ₱1,083.00. Selecting MCH10 replaces MCH50 (Seller 1 ₱699 ≥ ₱500 → −₱69.90; total ₱1,063.10); never both. RVSECRET is not applicable (Seller 2 subtotal ₱399 &lt; ₱1,000).</t>
  </si>
  <si>
    <t xml:space="preserve">BUY-VOU-004</t>
  </si>
  <si>
    <t xml:space="preserve">Minimum spend at the boundary</t>
  </si>
  <si>
    <t xml:space="preserve">Logged in as Buyer 1. MCH50 claimed (min ₱300). Only check the checkout screen; do not place these orders (MCH50 is 1 per buyer).</t>
  </si>
  <si>
    <t xml:space="preserve">1. Seller 1 sets P-02 price to ₱299.99. Check out 1 × P-02 and try MCH50.
2. Seller 1 sets the price to ₱300.00. Check out again.
3. Seller 1 sets the price to ₱300.01. Check out again.</t>
  </si>
  <si>
    <t xml:space="preserve">P-02 at ₱299.99 / ₱300.00 / ₱300.01</t>
  </si>
  <si>
    <t xml:space="preserve">₱299.99: not applicable, with 'Spend ₱0.01 more'. ₱300.00 and ₱300.01: ₱50.00 off.</t>
  </si>
  <si>
    <t xml:space="preserve">BUY-VOU-005</t>
  </si>
  <si>
    <t xml:space="preserve">Expired, not started, limit reached, invalid code</t>
  </si>
  <si>
    <t xml:space="preserve">1. Try to apply each voucher.</t>
  </si>
  <si>
    <t xml:space="preserve">MCHOLD (expired)
MCHSOON (starts tomorrow)
MCHMAX (total limit reached)
NOSUCHCODE (invalid)</t>
  </si>
  <si>
    <t xml:space="preserve">Each is rejected with its own specific message. No discount is applied.</t>
  </si>
  <si>
    <t xml:space="preserve">BUY-VOU-006</t>
  </si>
  <si>
    <t xml:space="preserve">Per-buyer limit reached</t>
  </si>
  <si>
    <t xml:space="preserve">Buyer 1 used MCH50 on a Completed order.</t>
  </si>
  <si>
    <t xml:space="preserve">1. Try MCH50 on a new order.</t>
  </si>
  <si>
    <t xml:space="preserve">Rejected: already used. Buyer 2 can still use it.</t>
  </si>
  <si>
    <t xml:space="preserve">BUY-VOU-007</t>
  </si>
  <si>
    <t xml:space="preserve">Removing an item drops below the minimum spend</t>
  </si>
  <si>
    <t xml:space="preserve">MCH50 applied to a ₱450 checkout (P-02).</t>
  </si>
  <si>
    <t xml:space="preserve">1. Go back, replace P-02 with P-01 Natural-S (₱199).
2. Return to checkout.</t>
  </si>
  <si>
    <t xml:space="preserve">MCH50 is removed automatically with a notice. Total is ₱199 + ₱50 = ₱249.00.</t>
  </si>
  <si>
    <t xml:space="preserve">BUY-VOU-008</t>
  </si>
  <si>
    <t xml:space="preserve">Percentage voucher respects its cap</t>
  </si>
  <si>
    <t xml:space="preserve">Logged in as Buyer 1. MCH10 claimed (10%, cap ₱100, min ₱500). Only check the checkout screen; do not place these orders.</t>
  </si>
  <si>
    <t xml:space="preserve">1. Seller 1 sets P-02 price to ₱499.99; check out 1 × P-02 with MCH10.
2. Set ₱999.00 and check out.
3. Set ₱1,000.00 and check out.
4. Check out 1 × P-03 (₱1,250).</t>
  </si>
  <si>
    <t xml:space="preserve">P-02 at ₱499.99 / ₱999.00 / ₱1,000.00; P-03</t>
  </si>
  <si>
    <t xml:space="preserve">₱499.99: not applicable. ₱999.00 → ₱99.90 off. ₱1,000.00 → ₱100.00 off. ₱1,250 → ₱100.00 off (cap, not ₱125.00).</t>
  </si>
  <si>
    <t xml:space="preserve">BUY-VOU-009</t>
  </si>
  <si>
    <t xml:space="preserve">Shipping voucher larger than shipping</t>
  </si>
  <si>
    <t xml:space="preserve">Logged in as Buyer 1. FREESHIP claimed (up to ₱50, min ₱300).</t>
  </si>
  <si>
    <t xml:space="preserve">1. Check out 1 × P-02 to ADDR-1 (0.8 kg, ₱50 shipping) with FREESHIP.
2. Check out P-02 + P-01 Natural-M to ADDR-1 (1.2 kg, ₱65 shipping) with FREESHIP.</t>
  </si>
  <si>
    <t xml:space="preserve">₱50 shipping → ₱0.00 shipping (not negative). ₱65 shipping → ₱15.00. Merchandise amounts are unchanged.</t>
  </si>
  <si>
    <t xml:space="preserve">BUY-VOU-010</t>
  </si>
  <si>
    <t xml:space="preserve">Total never negative</t>
  </si>
  <si>
    <t xml:space="preserve">Seller 1 sets P-02 price to ₱100.00 and creates voucher MCHT100: ₱100 off, min spend ₱100.</t>
  </si>
  <si>
    <t xml:space="preserve">1. Check out 1 × P-02 with MCHT100.</t>
  </si>
  <si>
    <t xml:space="preserve">Merchandise total is ₱0.00, never negative; shipping is still charged.</t>
  </si>
  <si>
    <t xml:space="preserve">BUY-VOU-011</t>
  </si>
  <si>
    <t xml:space="preserve">Voucher on items already on sale</t>
  </si>
  <si>
    <t xml:space="preserve">P-02 on sale at ₱360. MCH50 claimed.</t>
  </si>
  <si>
    <t xml:space="preserve">1. Check out 1 × P-02 with MCH50.</t>
  </si>
  <si>
    <t xml:space="preserve">MCH50 applies (₱360 ≥ ₱300). Merchandise ₱310.00, total ₱360.00 with ₱50 shipping.</t>
  </si>
  <si>
    <t xml:space="preserve">BUY-VOU-012</t>
  </si>
  <si>
    <t xml:space="preserve">Voucher returned after cancellation</t>
  </si>
  <si>
    <t xml:space="preserve">An order used MCH50 and is still cancellable.</t>
  </si>
  <si>
    <t xml:space="preserve">1. Cancel the order.
2. Open My Vouchers.</t>
  </si>
  <si>
    <t xml:space="preserve">MCH50 is back in the wallet, usable again before it expires.</t>
  </si>
  <si>
    <t xml:space="preserve">BUY-CHK-001</t>
  </si>
  <si>
    <t xml:space="preserve">Checkout</t>
  </si>
  <si>
    <t xml:space="preserve">Checkout with the worked example</t>
  </si>
  <si>
    <t xml:space="preserve">1. Open checkout with ADDR-1.
2. Apply MCH50, PLAT100 and FREESHIP.
3. Choose COD and tap Place Order.
4. Open both new orders.</t>
  </si>
  <si>
    <t xml:space="preserve">Summary: merchandise ₱1,098.00, shipping ₱185.00 (₱65 + ₱120), store voucher −₱50.00, platform voucher −₱100.00, shipping voucher −₱50.00, total ₱1,083.00. Two orders are created, one per store, whose totals add up to ₱1,083.00. Cart no longer has these items.</t>
  </si>
  <si>
    <t xml:space="preserve">A2, A8, A20</t>
  </si>
  <si>
    <t xml:space="preserve">BUY-CHK-002</t>
  </si>
  <si>
    <t xml:space="preserve">Shipping fee per store and per address</t>
  </si>
  <si>
    <t xml:space="preserve">1. Check out P-02 with ADDR-1.
2. Switch to ADDR-3.</t>
  </si>
  <si>
    <t xml:space="preserve">ADDR-1 (NCR): ₱50.00. ADDR-3 (Visayas): ₱120.00. The total updates immediately.</t>
  </si>
  <si>
    <t xml:space="preserve">BUY-CHK-003</t>
  </si>
  <si>
    <t xml:space="preserve">Shipping weight at the 1 kg boundary</t>
  </si>
  <si>
    <t xml:space="preserve">Logged in as Buyer 2 (ADDR-3, Visayas).</t>
  </si>
  <si>
    <t xml:space="preserve">1. Check out 5 × P-05 from Seller 2.
2. Change the quantity to 6.</t>
  </si>
  <si>
    <t xml:space="preserve">P-05 is 0.2 kg: 5 units = 1.0 kg, 6 units = 1.2 kg</t>
  </si>
  <si>
    <t xml:space="preserve">1.0 kg is charged as 1 kg: ₱60.00. 1.2 kg is charged as 2 kg: ₱80.00.</t>
  </si>
  <si>
    <t xml:space="preserve">BUY-CHK-004</t>
  </si>
  <si>
    <t xml:space="preserve">Unserviceable address</t>
  </si>
  <si>
    <t xml:space="preserve">1. Select ADDR-4 (Itbayat, Batanes).</t>
  </si>
  <si>
    <t xml:space="preserve">A message says the area is not serviceable and Place Order is disabled. No order can be created.</t>
  </si>
  <si>
    <t xml:space="preserve">BUY-CHK-005</t>
  </si>
  <si>
    <t xml:space="preserve">Note to seller length</t>
  </si>
  <si>
    <t xml:space="preserve">1. Enter 200 characters and place the order.
2. Try 201 characters.</t>
  </si>
  <si>
    <t xml:space="preserve">Note: Paki-wrap po as gift … (to 200)</t>
  </si>
  <si>
    <t xml:space="preserve">200 characters are saved and shown in full on the seller's order. 201 cannot be entered or is rejected.</t>
  </si>
  <si>
    <t xml:space="preserve">BUY-CHK-006</t>
  </si>
  <si>
    <t xml:space="preserve">No payment method selected</t>
  </si>
  <si>
    <t xml:space="preserve">1. Clear the payment method (if possible) and tap Place Order.</t>
  </si>
  <si>
    <t xml:space="preserve">Blocked until a payment method is chosen.</t>
  </si>
  <si>
    <t xml:space="preserve">BUY-CHK-007</t>
  </si>
  <si>
    <t xml:space="preserve">Double-tap Place Order</t>
  </si>
  <si>
    <t xml:space="preserve">1. Double-tap Place Order.
2. Tap Back (or use the Android Back button / iOS swipe back) and tap Place Order again.</t>
  </si>
  <si>
    <t xml:space="preserve">Exactly one order exists. P-02 stock is 19. The resubmit shows the existing order or a message; it does not create another.</t>
  </si>
  <si>
    <t xml:space="preserve">BUY-CHK-008</t>
  </si>
  <si>
    <t xml:space="preserve">Price changed during checkout</t>
  </si>
  <si>
    <t xml:space="preserve">Logged in as Buyer 1. Checkout screen open with P-02 at ₱450.</t>
  </si>
  <si>
    <t xml:space="preserve">1. Seller 1 changes P-02 to ₱480.
2. Tap Place Order.</t>
  </si>
  <si>
    <t xml:space="preserve">The order is not placed at ₱450. A message shows the new price and the summary updates to ₱480 for the buyer to confirm.</t>
  </si>
  <si>
    <t xml:space="preserve">BUY-CHK-009</t>
  </si>
  <si>
    <t xml:space="preserve">Stock ran out during checkout</t>
  </si>
  <si>
    <t xml:space="preserve">Buyer 1's checkout is open with P-03 (stock 1).</t>
  </si>
  <si>
    <t xml:space="preserve">1. Buyer 2 buys P-03 first.
2. Buyer 1 taps Place Order.</t>
  </si>
  <si>
    <t xml:space="preserve">Buyer 1's order is blocked with an out-of-stock message. Stock is 0.</t>
  </si>
  <si>
    <t xml:space="preserve">BUY-CHK-010</t>
  </si>
  <si>
    <t xml:space="preserve">Voucher becomes invalid during checkout</t>
  </si>
  <si>
    <t xml:space="preserve">Logged in as Buyer 1. MCH50 applied on the checkout screen.</t>
  </si>
  <si>
    <t xml:space="preserve">1. Seller 1 ends MCH50.
2. Tap Place Order.</t>
  </si>
  <si>
    <t xml:space="preserve">The order is not placed with MCH50. A message says the voucher is no longer valid and the total is updated.</t>
  </si>
  <si>
    <t xml:space="preserve">BUY-CHK-011</t>
  </si>
  <si>
    <t xml:space="preserve">Tampered price or total in the request</t>
  </si>
  <si>
    <t xml:space="preserve">1. Capture the Place Order request and change the item price or total to ₱1.00.
2. Send it.</t>
  </si>
  <si>
    <t xml:space="preserve">The server ignores or rejects the tampered amount. Any created order uses the real price.</t>
  </si>
  <si>
    <t xml:space="preserve">BUY-CHK-012</t>
  </si>
  <si>
    <t xml:space="preserve">[Mobile] Connection lost after tapping Place Order</t>
  </si>
  <si>
    <t xml:space="preserve">Logged in as Buyer 1. Checkout for 1 × P-02 (COD) is open. P-02 stock is 20.</t>
  </si>
  <si>
    <t xml:space="preserve">1. Tap Place Order and turn on Airplane mode at once.
2. Turn Airplane mode off.
3. Tap Place Order again if the checkout is still shown.
4. Open My Orders and check P-02 stock.</t>
  </si>
  <si>
    <t xml:space="preserve">P-02 × 1, COD</t>
  </si>
  <si>
    <t xml:space="preserve">The app shows a connection error or a waiting state, never a frozen screen. In the end exactly one order exists and P-02 stock is 19.</t>
  </si>
  <si>
    <t xml:space="preserve">A37, M5</t>
  </si>
  <si>
    <t xml:space="preserve">BUY-CHK-013</t>
  </si>
  <si>
    <t xml:space="preserve">[Mobile] App interrupted on the checkout screen</t>
  </si>
  <si>
    <t xml:space="preserve">Logged in as Buyer 1. Checkout is open with the worked example items and vouchers applied.</t>
  </si>
  <si>
    <t xml:space="preserve">1. Press Home and open another app for 5 minutes (or take a phone call).
2. Return to the app.</t>
  </si>
  <si>
    <t xml:space="preserve">The checkout screen still shows the same address, vouchers, payment method and total ₱1,083.00, or it reloads them and tells the buyer what changed. No order is placed without tapping Place Order.</t>
  </si>
  <si>
    <t xml:space="preserve">BUY-PAY-001</t>
  </si>
  <si>
    <t xml:space="preserve">Payment</t>
  </si>
  <si>
    <t xml:space="preserve">COD order</t>
  </si>
  <si>
    <t xml:space="preserve">1. Place an order for P-02 with COD.
2. Open the order.</t>
  </si>
  <si>
    <t xml:space="preserve">The order goes straight to To Ship. Payment shows COD ₱500.00 to collect on delivery.</t>
  </si>
  <si>
    <t xml:space="preserve">BUY-PAY-002</t>
  </si>
  <si>
    <t xml:space="preserve">E-wallet or card payment succeeds</t>
  </si>
  <si>
    <t xml:space="preserve">1. Choose the e-wallet (sandbox).
2. Complete payment.</t>
  </si>
  <si>
    <t xml:space="preserve">Use the gateway's sandbox account or test card</t>
  </si>
  <si>
    <t xml:space="preserve">The order moves To Pay → To Ship and stores a payment reference. The amount charged equals the order total exactly.</t>
  </si>
  <si>
    <t xml:space="preserve">BUY-PAY-003</t>
  </si>
  <si>
    <t xml:space="preserve">Payment fails</t>
  </si>
  <si>
    <t xml:space="preserve">1. Use the sandbox's declined card or failure option.</t>
  </si>
  <si>
    <t xml:space="preserve">The order stays To Pay with 'Payment failed' and Pay Again. It is not marked paid and the seller cannot ship it.</t>
  </si>
  <si>
    <t xml:space="preserve">BUY-PAY-004</t>
  </si>
  <si>
    <t xml:space="preserve">Buyer cancels at the gateway</t>
  </si>
  <si>
    <t xml:space="preserve">1. On the gateway screen tap Cancel / Back.</t>
  </si>
  <si>
    <t xml:space="preserve">Buyer returns to the order in To Pay. No duplicate order is created.</t>
  </si>
  <si>
    <t xml:space="preserve">BUY-PAY-005</t>
  </si>
  <si>
    <t xml:space="preserve">App closed on the gateway screen</t>
  </si>
  <si>
    <t xml:space="preserve">1. On the gateway screen (or in the e-wallet app), complete payment, then immediately force-close the marketplace app (swipe it away from recent apps).
2. Reopen the app and open My Orders.</t>
  </si>
  <si>
    <t xml:space="preserve">The order shows To Ship once the gateway confirms. It is charged once only.</t>
  </si>
  <si>
    <t xml:space="preserve">A37, M4</t>
  </si>
  <si>
    <t xml:space="preserve">BUY-PAY-006</t>
  </si>
  <si>
    <t xml:space="preserve">Unpaid order auto-cancels</t>
  </si>
  <si>
    <t xml:space="preserve">Logged in as Buyer 1. An e-wallet order for P-02 with MCH50 is To Pay; stock is 19.</t>
  </si>
  <si>
    <t xml:space="preserve">1. Wait past 1 hour.
2. Check the order, P-02 stock and My Vouchers.</t>
  </si>
  <si>
    <t xml:space="preserve">The order is Cancelled (reason: unpaid). Stock is 20. MCH50 is back in the wallet.</t>
  </si>
  <si>
    <t xml:space="preserve">A3, A6, A21</t>
  </si>
  <si>
    <t xml:space="preserve">BUY-PAY-007</t>
  </si>
  <si>
    <t xml:space="preserve">Pay just before vs after the auto-cancel time</t>
  </si>
  <si>
    <t xml:space="preserve">1. Pay one order at 59 minutes.
2. Try to pay another at 61 minutes.</t>
  </si>
  <si>
    <t xml:space="preserve">The 59-minute payment succeeds. The 61-minute order is already Cancelled and Pay is not available.</t>
  </si>
  <si>
    <t xml:space="preserve">BUY-PAY-008</t>
  </si>
  <si>
    <t xml:space="preserve">[Mobile] Pay in the e-wallet app and switch back</t>
  </si>
  <si>
    <t xml:space="preserve">Logged in as Buyer 1. The e-wallet sandbox opens a wallet app or an in-app browser.</t>
  </si>
  <si>
    <t xml:space="preserve">1. Place an order for P-02 with the e-wallet.
2. Complete payment in the wallet app (or in-app browser).
3. Return to the marketplace app (automatic redirect, or switch apps by hand).</t>
  </si>
  <si>
    <t xml:space="preserve">Use the gateway's sandbox account</t>
  </si>
  <si>
    <t xml:space="preserve">The app returns to the order, which shows To Ship with the payment reference and is charged once. When returning by hand, the order updates (after a pull-to-refresh at most) and Pay is not offered again.</t>
  </si>
  <si>
    <t xml:space="preserve">BUY-PAY-009</t>
  </si>
  <si>
    <t xml:space="preserve">[Mobile] Back button while payment is processing</t>
  </si>
  <si>
    <t xml:space="preserve">Logged in as Buyer 1. An e-wallet order for P-02 is To Pay.</t>
  </si>
  <si>
    <t xml:space="preserve">1. Tap Pay and, while the processing indicator shows, press Android Back (or swipe back) twice.
2. Open the order.</t>
  </si>
  <si>
    <t xml:space="preserve">The app asks before leaving, or ignores Back while processing. In the end the order is either paid once or still To Pay with Pay Again; never two payments or two orders.</t>
  </si>
  <si>
    <t xml:space="preserve">A37, M8</t>
  </si>
  <si>
    <t xml:space="preserve">BUY-TRK-001</t>
  </si>
  <si>
    <t xml:space="preserve">Order Tracking &amp; History</t>
  </si>
  <si>
    <t xml:space="preserve">Orders appear in the correct tab</t>
  </si>
  <si>
    <t xml:space="preserve">Logged in as Buyer 1. Orders exist in each status.</t>
  </si>
  <si>
    <t xml:space="preserve">1. Open each tab: To Pay, To Ship, To Receive, Completed, Cancelled, Return/Refund.
2. Compare tab counts with rows.</t>
  </si>
  <si>
    <t xml:space="preserve">Each order is in exactly one tab matching its status; counts match.</t>
  </si>
  <si>
    <t xml:space="preserve">BUY-TRK-002</t>
  </si>
  <si>
    <t xml:space="preserve">Timeline matches seller, rider, courier and logistics updates</t>
  </si>
  <si>
    <t xml:space="preserve">Logged in as Buyer 1. A COD order to ADDR-2 (Makati, delivered from HUB-PSG) is Ready for Pickup.</t>
  </si>
  <si>
    <t xml:space="preserve">1. Logistics 1 assigns Rider 1; Rider 1 picks up; HUB-QC scans the parcel in; Courier 1 carries it on a trip to HUB-PSG (Depart, then HUB-PSG scans it in); Rider 2 goes Out for Delivery.
2. Pull to refresh Buyer 1's order after each step.</t>
  </si>
  <si>
    <t xml:space="preserve">Each event appears once, in order, with its time: Picked Up, At Hub (HUB-QC), In Transit to HUB-PSG, At Hub (HUB-PSG), Out for Delivery. The order moves to To Receive at Picked Up. The courier's name and location are not shown to the buyer.</t>
  </si>
  <si>
    <t xml:space="preserve">A10, A38</t>
  </si>
  <si>
    <t xml:space="preserve">BUY-TRK-003</t>
  </si>
  <si>
    <t xml:space="preserve">Order Received button</t>
  </si>
  <si>
    <t xml:space="preserve">Logged in as Buyer 1. An order is Delivered.</t>
  </si>
  <si>
    <t xml:space="preserve">1. Tap Order Received and confirm.
2. Check Seller 1's earnings.</t>
  </si>
  <si>
    <t xml:space="preserve">The order moves to Completed and the Rate button appears. Seller 1's earnings for it become Available.</t>
  </si>
  <si>
    <t xml:space="preserve">A11, A15</t>
  </si>
  <si>
    <t xml:space="preserve">BUY-TRK-004</t>
  </si>
  <si>
    <t xml:space="preserve">Order Received not available before delivery</t>
  </si>
  <si>
    <t xml:space="preserve">Logged in as Buyer 1. An order is Out for Delivery.</t>
  </si>
  <si>
    <t xml:space="preserve">1. Look for Order Received.
2. Try the request directly if possible.</t>
  </si>
  <si>
    <t xml:space="preserve">Not shown; a direct request is rejected.</t>
  </si>
  <si>
    <t xml:space="preserve">A11, M11</t>
  </si>
  <si>
    <t xml:space="preserve">BUY-TRK-005</t>
  </si>
  <si>
    <t xml:space="preserve">Automatic completion</t>
  </si>
  <si>
    <t xml:space="preserve">An order was Delivered.</t>
  </si>
  <si>
    <t xml:space="preserve">1. Check it just before and just after 7 days.</t>
  </si>
  <si>
    <t xml:space="preserve">To Receive before 7 days; Completed after, and earnings are released.</t>
  </si>
  <si>
    <t xml:space="preserve">BUY-TRK-006</t>
  </si>
  <si>
    <t xml:space="preserve">Cannot open another buyer's order</t>
  </si>
  <si>
    <t xml:space="preserve">1. Change the order ID in the deep link or API request to Buyer 2's order.</t>
  </si>
  <si>
    <t xml:space="preserve">Denied. No details of Buyer 2's order are shown.</t>
  </si>
  <si>
    <t xml:space="preserve">BUY-TRK-007</t>
  </si>
  <si>
    <t xml:space="preserve">[Mobile] Push notification opens the order</t>
  </si>
  <si>
    <t xml:space="preserve">Logged in as Buyer 1 with notifications allowed. A COD order is Ready for Pickup.</t>
  </si>
  <si>
    <t xml:space="preserve">1. Close the app (swipe it away). Rider 1 marks the parcel Picked Up.
2. Tap the push notification.
3. With the app open on the home screen, Rider 1 marks Out for Delivery.</t>
  </si>
  <si>
    <t xml:space="preserve">Step 1: a push notification for the change arrives, including on the lock screen. Step 2: the app opens on that order's tracking screen. Step 3: an in-app banner appears and the order screen updates. Exactly one notification per change.</t>
  </si>
  <si>
    <t xml:space="preserve">A23, M10</t>
  </si>
  <si>
    <t xml:space="preserve">BUY-CAN-001</t>
  </si>
  <si>
    <t xml:space="preserve">Cancellation</t>
  </si>
  <si>
    <t xml:space="preserve">Cancel a COD order before shipping</t>
  </si>
  <si>
    <t xml:space="preserve">Logged in as Buyer 1. A COD order for 2 × P-02 is Accepted; stock is 18.</t>
  </si>
  <si>
    <t xml:space="preserve">1. Tap Cancel, choose 'Changed my mind', confirm.
2. Check stock and Seller 1's notifications.</t>
  </si>
  <si>
    <t xml:space="preserve">The order is Cancelled on both sides. Stock is 20. Seller 1 is notified with the reason.</t>
  </si>
  <si>
    <t xml:space="preserve">A3, A6, A23</t>
  </si>
  <si>
    <t xml:space="preserve">BUY-CAN-002</t>
  </si>
  <si>
    <t xml:space="preserve">Reason is required</t>
  </si>
  <si>
    <t xml:space="preserve">1. Tap Cancel and confirm without a reason.</t>
  </si>
  <si>
    <t xml:space="preserve">Blocked until a reason is chosen. The order is unchanged.</t>
  </si>
  <si>
    <t xml:space="preserve">BUY-CAN-003</t>
  </si>
  <si>
    <t xml:space="preserve">Cancel a prepaid order</t>
  </si>
  <si>
    <t xml:space="preserve">Logged in as Buyer 1. A paid e-wallet order with MCH50 is To Ship.</t>
  </si>
  <si>
    <t xml:space="preserve">1. Cancel with a reason.</t>
  </si>
  <si>
    <t xml:space="preserve">The order is Cancelled and a refund for the exact amount paid is started. MCH50 returns to the wallet.</t>
  </si>
  <si>
    <t xml:space="preserve">A6, A21</t>
  </si>
  <si>
    <t xml:space="preserve">BUY-CAN-004</t>
  </si>
  <si>
    <t xml:space="preserve">No cancel after Ready for Pickup</t>
  </si>
  <si>
    <t xml:space="preserve">Logged in as Buyer 1. Seller marked Ready for Pickup.</t>
  </si>
  <si>
    <t xml:space="preserve">1. Look for Cancel.
2. Try the cancel request directly if possible.</t>
  </si>
  <si>
    <t xml:space="preserve">No Cancel option; a direct request is rejected and the status is unchanged.</t>
  </si>
  <si>
    <t xml:space="preserve">A6, M11</t>
  </si>
  <si>
    <t xml:space="preserve">BUY-CAN-005</t>
  </si>
  <si>
    <t xml:space="preserve">No cancel after shipping</t>
  </si>
  <si>
    <t xml:space="preserve">Logged in as Buyer 1. Rider picked up the parcel.</t>
  </si>
  <si>
    <t xml:space="preserve">1. Look for Cancel.</t>
  </si>
  <si>
    <t xml:space="preserve">No Cancel option.</t>
  </si>
  <si>
    <t xml:space="preserve">BUY-CAN-006</t>
  </si>
  <si>
    <t xml:space="preserve">Double-tap Cancel</t>
  </si>
  <si>
    <t xml:space="preserve">1. Double-tap Confirm Cancel.</t>
  </si>
  <si>
    <t xml:space="preserve">One cancellation; stock restored once (not twice).</t>
  </si>
  <si>
    <t xml:space="preserve">BUY-RET-001</t>
  </si>
  <si>
    <t xml:space="preserve">Return &amp; Refund Request</t>
  </si>
  <si>
    <t xml:space="preserve">Request a return within the window</t>
  </si>
  <si>
    <t xml:space="preserve">Logged in as Buyer 1. A P-02 order was Delivered 2 days ago.</t>
  </si>
  <si>
    <t xml:space="preserve">1. Tap Return/Refund.
2. Choose the item, reason, description and upload 2 photos.
3. Submit.</t>
  </si>
  <si>
    <t xml:space="preserve">Reason: Damaged item
Description: Basket arrived with a broken rim.
Photos: review_photo.jpg, product_front.jpg</t>
  </si>
  <si>
    <t xml:space="preserve">The request is submitted. The order moves to Return/Refund. Seller 1 is notified. The order can no longer be completed automatically while the request is open.</t>
  </si>
  <si>
    <t xml:space="preserve">A11, A31</t>
  </si>
  <si>
    <t xml:space="preserve">BUY-RET-002</t>
  </si>
  <si>
    <t xml:space="preserve">Return not allowed before delivery</t>
  </si>
  <si>
    <t xml:space="preserve">Logged in as Buyer 1. An order is To Ship.</t>
  </si>
  <si>
    <t xml:space="preserve">1. Look for Return/Refund.</t>
  </si>
  <si>
    <t xml:space="preserve">Not available.</t>
  </si>
  <si>
    <t xml:space="preserve">BUY-RET-003</t>
  </si>
  <si>
    <t xml:space="preserve">Return window boundary</t>
  </si>
  <si>
    <t xml:space="preserve">1. Request on day 7 after Delivered.
2. Try on another order 7 days + 1 hour after Delivered (now Completed).</t>
  </si>
  <si>
    <t xml:space="preserve">Allowed on day 7. Not available after the window or once Completed.</t>
  </si>
  <si>
    <t xml:space="preserve">BUY-RET-004</t>
  </si>
  <si>
    <t xml:space="preserve">Evidence and description rules</t>
  </si>
  <si>
    <t xml:space="preserve">1. Submit with 0 photos.
2. Submit with 6 photos.
3. Submit a 5.1 MB photo.
4. Submit a 9-character description.</t>
  </si>
  <si>
    <t xml:space="preserve">Each is blocked with a message. 1 to 5 valid photos and 10+ characters are required.</t>
  </si>
  <si>
    <t xml:space="preserve">BUY-RET-005</t>
  </si>
  <si>
    <t xml:space="preserve">Track request status</t>
  </si>
  <si>
    <t xml:space="preserve">A request exists.</t>
  </si>
  <si>
    <t xml:space="preserve">1. Seller 1 rejects with a reason.
2. Open the request.</t>
  </si>
  <si>
    <t xml:space="preserve">Status Rejected with the seller's exact reason and an Escalate button.</t>
  </si>
  <si>
    <t xml:space="preserve">BUY-RET-006</t>
  </si>
  <si>
    <t xml:space="preserve">[Mobile] Return evidence from the camera and the gallery</t>
  </si>
  <si>
    <t xml:space="preserve">Logged in as Buyer 1. A P-02 order was Delivered 2 days ago. review_photo.jpg and product_front.jpg are in Photos.</t>
  </si>
  <si>
    <t xml:space="preserve">1. In the return form, take 1 photo with the camera.
2. Add 2 photos from the gallery in one multi-select.
3. Remove one photo, then submit.</t>
  </si>
  <si>
    <t xml:space="preserve">Reason: Damaged item
Description: Basket arrived with a broken rim.</t>
  </si>
  <si>
    <t xml:space="preserve">Photos are attached in the chosen order with previews, and a photo can be removed before submitting. The request is submitted with 2 photos and Seller 1 sees the same 2 photos.</t>
  </si>
  <si>
    <t xml:space="preserve">A31, M6, M7</t>
  </si>
  <si>
    <t xml:space="preserve">BUY-RATE-001</t>
  </si>
  <si>
    <t xml:space="preserve">Ratings &amp; Reviews</t>
  </si>
  <si>
    <t xml:space="preserve">Rate a completed order</t>
  </si>
  <si>
    <t xml:space="preserve">Logged in as Buyer 1. An order with P-02 is Completed.</t>
  </si>
  <si>
    <t xml:space="preserve">1. Tap Rate.
2. Choose 5 stars, add text and a photo.
3. Submit.
4. Open P-02's reviews as Buyer 2.</t>
  </si>
  <si>
    <t xml:space="preserve">Text: Matibay at maganda!
Photo: review_photo.jpg</t>
  </si>
  <si>
    <t xml:space="preserve">The review appears on P-02 with 5 stars, the text, the photo, the variant and Buyer 1's (masked) name.</t>
  </si>
  <si>
    <t xml:space="preserve">BUY-RATE-002</t>
  </si>
  <si>
    <t xml:space="preserve">Rating not allowed before completion</t>
  </si>
  <si>
    <t xml:space="preserve">Logged in as Buyer 1. The order is To Receive.</t>
  </si>
  <si>
    <t xml:space="preserve">1. Look for Rate.
2. Try the request directly.</t>
  </si>
  <si>
    <t xml:space="preserve">Not available; a direct request is rejected.</t>
  </si>
  <si>
    <t xml:space="preserve">A12, M11</t>
  </si>
  <si>
    <t xml:space="preserve">BUY-RATE-003</t>
  </si>
  <si>
    <t xml:space="preserve">One review per item</t>
  </si>
  <si>
    <t xml:space="preserve">Logged in as Buyer 1. P-02 already reviewed in this order.</t>
  </si>
  <si>
    <t xml:space="preserve">1. Try to rate it again.</t>
  </si>
  <si>
    <t xml:space="preserve">Blocked; only Edit is offered.</t>
  </si>
  <si>
    <t xml:space="preserve">BUY-RATE-004</t>
  </si>
  <si>
    <t xml:space="preserve">Stars, text and photo limits</t>
  </si>
  <si>
    <t xml:space="preserve">1. Submit with 0 stars.
2. Submit 500 characters of text, then 501.
3. Attach 5 photos, then try a 6th.</t>
  </si>
  <si>
    <t xml:space="preserve">0 stars is blocked. 500 characters and 5 photos are accepted; 501 characters and a 6th photo are not.</t>
  </si>
  <si>
    <t xml:space="preserve">BUY-RATE-005</t>
  </si>
  <si>
    <t xml:space="preserve">Edit once within the window</t>
  </si>
  <si>
    <t xml:space="preserve">1. Edit the review once.
2. Try to edit again.
3. On another review older than 30 days, try to edit.</t>
  </si>
  <si>
    <t xml:space="preserve">The first edit saves. A second edit and an edit after 30 days are not possible.</t>
  </si>
  <si>
    <t xml:space="preserve">BUY-RATE-006</t>
  </si>
  <si>
    <t xml:space="preserve">Average rating updates</t>
  </si>
  <si>
    <t xml:space="preserve">P-02 has one 4-star review.</t>
  </si>
  <si>
    <t xml:space="preserve">1. Buyer 2 adds a 2-star review.</t>
  </si>
  <si>
    <t xml:space="preserve">Average becomes 3.0 and the count 2 on the product screen and search card.</t>
  </si>
  <si>
    <t xml:space="preserve">BUY-RATE-007</t>
  </si>
  <si>
    <t xml:space="preserve">[Mobile] Review photos from the camera and a multi-select</t>
  </si>
  <si>
    <t xml:space="preserve">Logged in as Buyer 1. An order with P-02 is Completed and not yet reviewed.</t>
  </si>
  <si>
    <t xml:space="preserve">1. Tap Rate and take 1 photo with the camera.
2. Open the gallery and select 5 more photos at once.</t>
  </si>
  <si>
    <t xml:space="preserve">No more than 5 photos can be attached: the gallery stops at 4 more, or a message says only 5 are allowed. The review saves with 5 photos.</t>
  </si>
  <si>
    <t xml:space="preserve">A12, M7</t>
  </si>
  <si>
    <t xml:space="preserve">BUY-CHAT-001</t>
  </si>
  <si>
    <t xml:space="preserve">Chat &amp; Notifications</t>
  </si>
  <si>
    <t xml:space="preserve">Chat with a seller from a product</t>
  </si>
  <si>
    <t xml:space="preserve">1. On P-02 tap Chat.
2. Send a message and an image.</t>
  </si>
  <si>
    <t xml:space="preserve">Hi, available pa po ba?
review_photo.jpg</t>
  </si>
  <si>
    <t xml:space="preserve">Seller 1 receives both in order. The chat shows the P-02 product card.</t>
  </si>
  <si>
    <t xml:space="preserve">BUY-CHAT-002</t>
  </si>
  <si>
    <t xml:space="preserve">Invalid attachments and message length</t>
  </si>
  <si>
    <t xml:space="preserve">1. Attach installer.exe and size_5.1MB.jpg.
2. Send 1,001 characters.</t>
  </si>
  <si>
    <t xml:space="preserve">All are rejected; nothing is sent.</t>
  </si>
  <si>
    <t xml:space="preserve">A16, A25</t>
  </si>
  <si>
    <t xml:space="preserve">BUY-CHAT-003</t>
  </si>
  <si>
    <t xml:space="preserve">Order status notifications</t>
  </si>
  <si>
    <t xml:space="preserve">1. Move an order through Accepted, Picked Up, Out for Delivery and Delivered.</t>
  </si>
  <si>
    <t xml:space="preserve">Exactly one notification per change. Each opens the right order.</t>
  </si>
  <si>
    <t xml:space="preserve">BUY-CHAT-004</t>
  </si>
  <si>
    <t xml:space="preserve">Flash-sale reminder</t>
  </si>
  <si>
    <t xml:space="preserve">Logged in as Buyer 1. Set a reminder for P-02's flash sale.</t>
  </si>
  <si>
    <t xml:space="preserve">1. Wait for the slot to start.</t>
  </si>
  <si>
    <t xml:space="preserve">A reminder arrives before the slot starts and links to P-02.</t>
  </si>
  <si>
    <t xml:space="preserve">BUY-CHAT-005</t>
  </si>
  <si>
    <t xml:space="preserve">Mark notifications as read</t>
  </si>
  <si>
    <t xml:space="preserve">Logged in as Buyer 1. 3 unread notifications.</t>
  </si>
  <si>
    <t xml:space="preserve">1. Open one notification.
2. Tap Mark all as read.</t>
  </si>
  <si>
    <t xml:space="preserve">Unread count goes 3 → 2 → 0.</t>
  </si>
  <si>
    <t xml:space="preserve">BUY-CHAT-006</t>
  </si>
  <si>
    <t xml:space="preserve">[Mobile] Chat message while the app is in the background</t>
  </si>
  <si>
    <t xml:space="preserve">Logged in as Buyer 1 with notifications allowed.</t>
  </si>
  <si>
    <t xml:space="preserve">1. Put the app in the background.
2. Seller 1 sends a chat message.
3. Tap the push notification.</t>
  </si>
  <si>
    <t xml:space="preserve">Seller 1: Opo, available pa.</t>
  </si>
  <si>
    <t xml:space="preserve">A push notification shows Seller 1's name and a preview of the message. Tapping it opens that chat with the message shown once.</t>
  </si>
  <si>
    <t xml:space="preserve">BUY-CHAT-007</t>
  </si>
  <si>
    <t xml:space="preserve">[Mobile] Notifications turned off in phone Settings</t>
  </si>
  <si>
    <t xml:space="preserve">1. Turn off notifications for the app in phone Settings.
2. Move one of Buyer 1's orders to Picked Up.
3. Open the app's notification list.</t>
  </si>
  <si>
    <t xml:space="preserve">No push notification arrives, and the app neither crashes nor keeps asking. The in-app notification list still shows the update.</t>
  </si>
  <si>
    <t xml:space="preserve">M6, M10</t>
  </si>
  <si>
    <t xml:space="preserve">BUY-CHAT-008</t>
  </si>
  <si>
    <t xml:space="preserve">[Mobile] Send a chat message with no internet</t>
  </si>
  <si>
    <t xml:space="preserve">Logged in as Buyer 1. A chat with Seller 1 is open.</t>
  </si>
  <si>
    <t xml:space="preserve">1. Turn on Airplane mode and send a message.
2. Turn Airplane mode off.</t>
  </si>
  <si>
    <t xml:space="preserve">Hello po</t>
  </si>
  <si>
    <t xml:space="preserve">The message is marked not sent with a retry option, or is sent automatically once online. Seller 1 receives it exactly once.</t>
  </si>
</sst>
</file>

<file path=xl/styles.xml><?xml version="1.0" encoding="utf-8"?>
<styleSheet xmlns="http://schemas.openxmlformats.org/spreadsheetml/2006/main">
  <numFmts count="3">
    <numFmt numFmtId="164" formatCode="General"/>
    <numFmt numFmtId="165" formatCode="General"/>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6" fontId="7" fillId="2"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34"/>
    <col collapsed="false" customWidth="true" hidden="false" outlineLevel="0" max="6" min="3" style="0" width="10"/>
    <col collapsed="false" customWidth="true" hidden="false" outlineLevel="0" max="7" min="7" style="0" width="22"/>
  </cols>
  <sheetData>
    <row r="1" customFormat="false" ht="17.35" hidden="false" customHeight="false" outlineLevel="0" collapsed="false">
      <c r="A1" s="1" t="s">
        <v>0</v>
      </c>
    </row>
    <row r="2" customFormat="false" hidden="false" outlineLevel="0" collapsed="false" ht="36.00" customHeight="true">
      <c r="A2" s="2" t="inlineStr">
        <is>
          <t xml:space="preserve">Source-based buyer app review. No phone or live API tests were performed; all execution statuses remain Not Run.</t>
        </is>
      </c>
    </row>
    <row r="4" customFormat="false" ht="15" hidden="false" customHeight="false" outlineLevel="0" collapsed="false">
      <c r="A4" s="3" t="s">
        <v>2</v>
      </c>
    </row>
    <row r="5" customFormat="false" hidden="false" outlineLevel="0" collapsed="false" ht="36.00" customHeight="true">
      <c r="A5" s="4" t="s">
        <v>3</v>
      </c>
      <c r="B5" s="5" t="inlineStr">
        <is>
          <t xml:space="preserve">Invoiz buyer app — source-based assessment</t>
        </is>
      </c>
    </row>
    <row r="6" customFormat="false" hidden="false" outlineLevel="0" collapsed="false" ht="36.00" customHeight="true">
      <c r="A6" s="4" t="s">
        <v>4</v>
      </c>
      <c r="B6" s="5" t="inlineStr">
        <is>
          <t xml:space="preserve">1.0.0+1 from pubspec.yaml; installed build not checked</t>
        </is>
      </c>
    </row>
    <row r="7" customFormat="false" hidden="false" outlineLevel="0" collapsed="false" ht="48.00" customHeight="true">
      <c r="A7" s="4" t="s">
        <v>5</v>
      </c>
      <c r="B7" s="5" t="inlineStr">
        <is>
          <t xml:space="preserve">No phone/emulator or network session tested</t>
        </is>
      </c>
    </row>
    <row r="8" customFormat="false" hidden="false" outlineLevel="0" collapsed="false" ht="36.00" customHeight="true">
      <c r="A8" s="4" t="s">
        <v>6</v>
      </c>
      <c r="B8" s="5" t="inlineStr">
        <is>
          <t xml:space="preserve">Codex — source review only</t>
        </is>
      </c>
    </row>
    <row r="9" customFormat="false" hidden="false" outlineLevel="0" collapsed="false" ht="36.00" customHeight="true">
      <c r="A9" s="4" t="s">
        <v>7</v>
      </c>
      <c r="B9" s="5" t="inlineStr">
        <is>
          <t xml:space="preserve">23 October 2026 — review date, not a device test date</t>
        </is>
      </c>
    </row>
    <row r="11" customFormat="false" ht="15" hidden="false" customHeight="false" outlineLevel="0" collapsed="false">
      <c r="A11" s="3" t="s">
        <v>8</v>
      </c>
    </row>
    <row r="12" customFormat="false" ht="15" hidden="false" customHeight="false" outlineLevel="0" collapsed="false">
      <c r="A12" s="6" t="s">
        <v>9</v>
      </c>
      <c r="B12" s="6" t="s">
        <v>10</v>
      </c>
      <c r="C12" s="6" t="s">
        <v>11</v>
      </c>
      <c r="D12" s="6" t="s">
        <v>12</v>
      </c>
      <c r="E12" s="6" t="s">
        <v>13</v>
      </c>
      <c r="F12" s="6" t="s">
        <v>14</v>
      </c>
      <c r="G12" s="6" t="s">
        <v>15</v>
      </c>
    </row>
    <row r="13" customFormat="false" ht="15" hidden="false" customHeight="false" outlineLevel="0" collapsed="false">
      <c r="A13" s="7" t="s">
        <v>16</v>
      </c>
      <c r="B13" s="8" t="n">
        <f aca="false">COUNTA('B1 Account'!$A$2:$A$200)</f>
        <v>12</v>
      </c>
      <c r="C13" s="8" t="n">
        <f aca="false">COUNTIF('B1 Account'!$L$2:$L$200,"Pass")</f>
        <v>0</v>
      </c>
      <c r="D13" s="8" t="n">
        <f aca="false">COUNTIF('B1 Account'!$L$2:$L$200,"Fail")</f>
        <v>0</v>
      </c>
      <c r="E13" s="8" t="n">
        <f aca="false">COUNTIF('B1 Account'!$L$2:$L$200,"Blocked")</f>
        <v>0</v>
      </c>
      <c r="F13" s="8" t="n">
        <f aca="false">COUNTIF('B1 Account'!$L$2:$L$200,"Not Run")</f>
        <v>12</v>
      </c>
      <c r="G13" s="9" t="n">
        <f aca="false">IF(B13=0,0,C13/B13)</f>
        <v>0</v>
      </c>
    </row>
    <row r="14" customFormat="false" ht="15" hidden="false" customHeight="false" outlineLevel="0" collapsed="false">
      <c r="A14" s="7" t="s">
        <v>17</v>
      </c>
      <c r="B14" s="8" t="n">
        <f aca="false">COUNTA('B2 Address Book'!$A$2:$A$200)</f>
        <v>11</v>
      </c>
      <c r="C14" s="8" t="n">
        <f aca="false">COUNTIF('B2 Address Book'!$L$2:$L$200,"Pass")</f>
        <v>0</v>
      </c>
      <c r="D14" s="8" t="n">
        <f aca="false">COUNTIF('B2 Address Book'!$L$2:$L$200,"Fail")</f>
        <v>0</v>
      </c>
      <c r="E14" s="8" t="n">
        <f aca="false">COUNTIF('B2 Address Book'!$L$2:$L$200,"Blocked")</f>
        <v>0</v>
      </c>
      <c r="F14" s="8" t="n">
        <f aca="false">COUNTIF('B2 Address Book'!$L$2:$L$200,"Not Run")</f>
        <v>11</v>
      </c>
      <c r="G14" s="9" t="n">
        <f aca="false">IF(B14=0,0,C14/B14)</f>
        <v>0</v>
      </c>
    </row>
    <row r="15" customFormat="false" ht="15" hidden="false" customHeight="false" outlineLevel="0" collapsed="false">
      <c r="A15" s="7" t="s">
        <v>18</v>
      </c>
      <c r="B15" s="8" t="n">
        <f aca="false">COUNTA('B3 Browse &amp; Search'!$A$2:$A$200)</f>
        <v>13</v>
      </c>
      <c r="C15" s="8" t="n">
        <f aca="false">COUNTIF('B3 Browse &amp; Search'!$L$2:$L$200,"Pass")</f>
        <v>0</v>
      </c>
      <c r="D15" s="8" t="n">
        <f aca="false">COUNTIF('B3 Browse &amp; Search'!$L$2:$L$200,"Fail")</f>
        <v>0</v>
      </c>
      <c r="E15" s="8" t="n">
        <f aca="false">COUNTIF('B3 Browse &amp; Search'!$L$2:$L$200,"Blocked")</f>
        <v>0</v>
      </c>
      <c r="F15" s="8" t="n">
        <f aca="false">COUNTIF('B3 Browse &amp; Search'!$L$2:$L$200,"Not Run")</f>
        <v>13</v>
      </c>
      <c r="G15" s="9" t="n">
        <f aca="false">IF(B15=0,0,C15/B15)</f>
        <v>0</v>
      </c>
    </row>
    <row r="16" customFormat="false" ht="15" hidden="false" customHeight="false" outlineLevel="0" collapsed="false">
      <c r="A16" s="7" t="s">
        <v>19</v>
      </c>
      <c r="B16" s="8" t="n">
        <f aca="false">COUNTA('B4 Product Detail'!$A$2:$A$200)</f>
        <v>10</v>
      </c>
      <c r="C16" s="8" t="n">
        <f aca="false">COUNTIF('B4 Product Detail'!$L$2:$L$200,"Pass")</f>
        <v>0</v>
      </c>
      <c r="D16" s="8" t="n">
        <f aca="false">COUNTIF('B4 Product Detail'!$L$2:$L$200,"Fail")</f>
        <v>0</v>
      </c>
      <c r="E16" s="8" t="n">
        <f aca="false">COUNTIF('B4 Product Detail'!$L$2:$L$200,"Blocked")</f>
        <v>0</v>
      </c>
      <c r="F16" s="8" t="n">
        <f aca="false">COUNTIF('B4 Product Detail'!$L$2:$L$200,"Not Run")</f>
        <v>10</v>
      </c>
      <c r="G16" s="9" t="n">
        <f aca="false">IF(B16=0,0,C16/B16)</f>
        <v>0</v>
      </c>
    </row>
    <row r="17" customFormat="false" ht="15" hidden="false" customHeight="false" outlineLevel="0" collapsed="false">
      <c r="A17" s="7" t="s">
        <v>20</v>
      </c>
      <c r="B17" s="8" t="n">
        <f aca="false">COUNTA('B5 Wishlist &amp; Follow'!$A$2:$A$200)</f>
        <v>5</v>
      </c>
      <c r="C17" s="8" t="n">
        <f aca="false">COUNTIF('B5 Wishlist &amp; Follow'!$L$2:$L$200,"Pass")</f>
        <v>0</v>
      </c>
      <c r="D17" s="8" t="n">
        <f aca="false">COUNTIF('B5 Wishlist &amp; Follow'!$L$2:$L$200,"Fail")</f>
        <v>0</v>
      </c>
      <c r="E17" s="8" t="n">
        <f aca="false">COUNTIF('B5 Wishlist &amp; Follow'!$L$2:$L$200,"Blocked")</f>
        <v>0</v>
      </c>
      <c r="F17" s="8" t="n">
        <f aca="false">COUNTIF('B5 Wishlist &amp; Follow'!$L$2:$L$200,"Not Run")</f>
        <v>5</v>
      </c>
      <c r="G17" s="9" t="n">
        <f aca="false">IF(B17=0,0,C17/B17)</f>
        <v>0</v>
      </c>
    </row>
    <row r="18" customFormat="false" ht="15" hidden="false" customHeight="false" outlineLevel="0" collapsed="false">
      <c r="A18" s="7" t="s">
        <v>21</v>
      </c>
      <c r="B18" s="8" t="n">
        <f aca="false">COUNTA('B6 Cart'!$A$2:$A$200)</f>
        <v>12</v>
      </c>
      <c r="C18" s="8" t="n">
        <f aca="false">COUNTIF('B6 Cart'!$L$2:$L$200,"Pass")</f>
        <v>0</v>
      </c>
      <c r="D18" s="8" t="n">
        <f aca="false">COUNTIF('B6 Cart'!$L$2:$L$200,"Fail")</f>
        <v>0</v>
      </c>
      <c r="E18" s="8" t="n">
        <f aca="false">COUNTIF('B6 Cart'!$L$2:$L$200,"Blocked")</f>
        <v>0</v>
      </c>
      <c r="F18" s="8" t="n">
        <f aca="false">COUNTIF('B6 Cart'!$L$2:$L$200,"Not Run")</f>
        <v>12</v>
      </c>
      <c r="G18" s="9" t="n">
        <f aca="false">IF(B18=0,0,C18/B18)</f>
        <v>0</v>
      </c>
    </row>
    <row r="19" customFormat="false" ht="15" hidden="false" customHeight="false" outlineLevel="0" collapsed="false">
      <c r="A19" s="7" t="s">
        <v>22</v>
      </c>
      <c r="B19" s="8" t="n">
        <f aca="false">COUNTA('B7 Vouchers'!$A$2:$A$200)</f>
        <v>12</v>
      </c>
      <c r="C19" s="8" t="n">
        <f aca="false">COUNTIF('B7 Vouchers'!$L$2:$L$200,"Pass")</f>
        <v>0</v>
      </c>
      <c r="D19" s="8" t="n">
        <f aca="false">COUNTIF('B7 Vouchers'!$L$2:$L$200,"Fail")</f>
        <v>0</v>
      </c>
      <c r="E19" s="8" t="n">
        <f aca="false">COUNTIF('B7 Vouchers'!$L$2:$L$200,"Blocked")</f>
        <v>0</v>
      </c>
      <c r="F19" s="8" t="n">
        <f aca="false">COUNTIF('B7 Vouchers'!$L$2:$L$200,"Not Run")</f>
        <v>12</v>
      </c>
      <c r="G19" s="9" t="n">
        <f aca="false">IF(B19=0,0,C19/B19)</f>
        <v>0</v>
      </c>
    </row>
    <row r="20" customFormat="false" ht="15" hidden="false" customHeight="false" outlineLevel="0" collapsed="false">
      <c r="A20" s="7" t="s">
        <v>23</v>
      </c>
      <c r="B20" s="8" t="n">
        <f aca="false">COUNTA('B8 Checkout'!$A$2:$A$200)</f>
        <v>13</v>
      </c>
      <c r="C20" s="8" t="n">
        <f aca="false">COUNTIF('B8 Checkout'!$L$2:$L$200,"Pass")</f>
        <v>0</v>
      </c>
      <c r="D20" s="8" t="n">
        <f aca="false">COUNTIF('B8 Checkout'!$L$2:$L$200,"Fail")</f>
        <v>0</v>
      </c>
      <c r="E20" s="8" t="n">
        <f aca="false">COUNTIF('B8 Checkout'!$L$2:$L$200,"Blocked")</f>
        <v>0</v>
      </c>
      <c r="F20" s="8" t="n">
        <f aca="false">COUNTIF('B8 Checkout'!$L$2:$L$200,"Not Run")</f>
        <v>13</v>
      </c>
      <c r="G20" s="9" t="n">
        <f aca="false">IF(B20=0,0,C20/B20)</f>
        <v>0</v>
      </c>
    </row>
    <row r="21" customFormat="false" ht="15" hidden="false" customHeight="false" outlineLevel="0" collapsed="false">
      <c r="A21" s="7" t="s">
        <v>24</v>
      </c>
      <c r="B21" s="8" t="n">
        <f aca="false">COUNTA('B9 Payment'!$A$2:$A$200)</f>
        <v>9</v>
      </c>
      <c r="C21" s="8" t="n">
        <f aca="false">COUNTIF('B9 Payment'!$L$2:$L$200,"Pass")</f>
        <v>0</v>
      </c>
      <c r="D21" s="8" t="n">
        <f aca="false">COUNTIF('B9 Payment'!$L$2:$L$200,"Fail")</f>
        <v>0</v>
      </c>
      <c r="E21" s="8" t="n">
        <f aca="false">COUNTIF('B9 Payment'!$L$2:$L$200,"Blocked")</f>
        <v>0</v>
      </c>
      <c r="F21" s="8" t="n">
        <f aca="false">COUNTIF('B9 Payment'!$L$2:$L$200,"Not Run")</f>
        <v>9</v>
      </c>
      <c r="G21" s="9" t="n">
        <f aca="false">IF(B21=0,0,C21/B21)</f>
        <v>0</v>
      </c>
    </row>
    <row r="22" customFormat="false" ht="15" hidden="false" customHeight="false" outlineLevel="0" collapsed="false">
      <c r="A22" s="7" t="s">
        <v>25</v>
      </c>
      <c r="B22" s="8" t="n">
        <f aca="false">COUNTA('B10 Order Tracking'!$A$2:$A$200)</f>
        <v>7</v>
      </c>
      <c r="C22" s="8" t="n">
        <f aca="false">COUNTIF('B10 Order Tracking'!$L$2:$L$200,"Pass")</f>
        <v>0</v>
      </c>
      <c r="D22" s="8" t="n">
        <f aca="false">COUNTIF('B10 Order Tracking'!$L$2:$L$200,"Fail")</f>
        <v>0</v>
      </c>
      <c r="E22" s="8" t="n">
        <f aca="false">COUNTIF('B10 Order Tracking'!$L$2:$L$200,"Blocked")</f>
        <v>0</v>
      </c>
      <c r="F22" s="8" t="n">
        <f aca="false">COUNTIF('B10 Order Tracking'!$L$2:$L$200,"Not Run")</f>
        <v>7</v>
      </c>
      <c r="G22" s="9" t="n">
        <f aca="false">IF(B22=0,0,C22/B22)</f>
        <v>0</v>
      </c>
    </row>
    <row r="23" customFormat="false" ht="15" hidden="false" customHeight="false" outlineLevel="0" collapsed="false">
      <c r="A23" s="7" t="s">
        <v>26</v>
      </c>
      <c r="B23" s="8" t="n">
        <f aca="false">COUNTA('B11 Cancellation'!$A$2:$A$200)</f>
        <v>6</v>
      </c>
      <c r="C23" s="8" t="n">
        <f aca="false">COUNTIF('B11 Cancellation'!$L$2:$L$200,"Pass")</f>
        <v>0</v>
      </c>
      <c r="D23" s="8" t="n">
        <f aca="false">COUNTIF('B11 Cancellation'!$L$2:$L$200,"Fail")</f>
        <v>0</v>
      </c>
      <c r="E23" s="8" t="n">
        <f aca="false">COUNTIF('B11 Cancellation'!$L$2:$L$200,"Blocked")</f>
        <v>0</v>
      </c>
      <c r="F23" s="8" t="n">
        <f aca="false">COUNTIF('B11 Cancellation'!$L$2:$L$200,"Not Run")</f>
        <v>6</v>
      </c>
      <c r="G23" s="9" t="n">
        <f aca="false">IF(B23=0,0,C23/B23)</f>
        <v>0</v>
      </c>
    </row>
    <row r="24" customFormat="false" ht="15" hidden="false" customHeight="false" outlineLevel="0" collapsed="false">
      <c r="A24" s="7" t="s">
        <v>27</v>
      </c>
      <c r="B24" s="8" t="n">
        <f aca="false">COUNTA('B12 Return &amp; Refund'!$A$2:$A$200)</f>
        <v>6</v>
      </c>
      <c r="C24" s="8" t="n">
        <f aca="false">COUNTIF('B12 Return &amp; Refund'!$L$2:$L$200,"Pass")</f>
        <v>0</v>
      </c>
      <c r="D24" s="8" t="n">
        <f aca="false">COUNTIF('B12 Return &amp; Refund'!$L$2:$L$200,"Fail")</f>
        <v>0</v>
      </c>
      <c r="E24" s="8" t="n">
        <f aca="false">COUNTIF('B12 Return &amp; Refund'!$L$2:$L$200,"Blocked")</f>
        <v>0</v>
      </c>
      <c r="F24" s="8" t="n">
        <f aca="false">COUNTIF('B12 Return &amp; Refund'!$L$2:$L$200,"Not Run")</f>
        <v>6</v>
      </c>
      <c r="G24" s="9" t="n">
        <f aca="false">IF(B24=0,0,C24/B24)</f>
        <v>0</v>
      </c>
    </row>
    <row r="25" customFormat="false" ht="15" hidden="false" customHeight="false" outlineLevel="0" collapsed="false">
      <c r="A25" s="7" t="s">
        <v>28</v>
      </c>
      <c r="B25" s="8" t="n">
        <f aca="false">COUNTA('B13 Ratings &amp; Reviews'!$A$2:$A$200)</f>
        <v>7</v>
      </c>
      <c r="C25" s="8" t="n">
        <f aca="false">COUNTIF('B13 Ratings &amp; Reviews'!$L$2:$L$200,"Pass")</f>
        <v>0</v>
      </c>
      <c r="D25" s="8" t="n">
        <f aca="false">COUNTIF('B13 Ratings &amp; Reviews'!$L$2:$L$200,"Fail")</f>
        <v>0</v>
      </c>
      <c r="E25" s="8" t="n">
        <f aca="false">COUNTIF('B13 Ratings &amp; Reviews'!$L$2:$L$200,"Blocked")</f>
        <v>0</v>
      </c>
      <c r="F25" s="8" t="n">
        <f aca="false">COUNTIF('B13 Ratings &amp; Reviews'!$L$2:$L$200,"Not Run")</f>
        <v>7</v>
      </c>
      <c r="G25" s="9" t="n">
        <f aca="false">IF(B25=0,0,C25/B25)</f>
        <v>0</v>
      </c>
    </row>
    <row r="26" customFormat="false" ht="15" hidden="false" customHeight="false" outlineLevel="0" collapsed="false">
      <c r="A26" s="7" t="s">
        <v>29</v>
      </c>
      <c r="B26" s="8" t="n">
        <f aca="false">COUNTA('B14 Chat &amp; Notifs'!$A$2:$A$200)</f>
        <v>8</v>
      </c>
      <c r="C26" s="8" t="n">
        <f aca="false">COUNTIF('B14 Chat &amp; Notifs'!$L$2:$L$200,"Pass")</f>
        <v>0</v>
      </c>
      <c r="D26" s="8" t="n">
        <f aca="false">COUNTIF('B14 Chat &amp; Notifs'!$L$2:$L$200,"Fail")</f>
        <v>0</v>
      </c>
      <c r="E26" s="8" t="n">
        <f aca="false">COUNTIF('B14 Chat &amp; Notifs'!$L$2:$L$200,"Blocked")</f>
        <v>0</v>
      </c>
      <c r="F26" s="8" t="n">
        <f aca="false">COUNTIF('B14 Chat &amp; Notifs'!$L$2:$L$200,"Not Run")</f>
        <v>8</v>
      </c>
      <c r="G26" s="9" t="n">
        <f aca="false">IF(B26=0,0,C26/B26)</f>
        <v>0</v>
      </c>
    </row>
    <row r="27" customFormat="false" ht="15" hidden="false" customHeight="false" outlineLevel="0" collapsed="false">
      <c r="A27" s="4" t="s">
        <v>30</v>
      </c>
      <c r="B27" s="4" t="n">
        <f aca="false">SUM(B13:B26)</f>
        <v>131</v>
      </c>
      <c r="C27" s="4" t="n">
        <f aca="false">SUM(C13:C26)</f>
        <v>0</v>
      </c>
      <c r="D27" s="4" t="n">
        <f aca="false">SUM(D13:D26)</f>
        <v>0</v>
      </c>
      <c r="E27" s="4" t="n">
        <f aca="false">SUM(E13:E26)</f>
        <v>0</v>
      </c>
      <c r="F27" s="4" t="n">
        <f aca="false">SUM(F13:F26)</f>
        <v>131</v>
      </c>
      <c r="G27" s="10" t="n">
        <f aca="false">IF(B27=0,0,C27/B27)</f>
        <v>0</v>
      </c>
    </row>
    <row r="29" customFormat="false" ht="15" hidden="false" customHeight="false" outlineLevel="0" collapsed="false">
      <c r="A29" s="3" t="s">
        <v>31</v>
      </c>
    </row>
    <row r="30" customFormat="false" ht="16.5" hidden="false" customHeight="true" outlineLevel="0" collapsed="false">
      <c r="A30" s="11" t="s">
        <v>32</v>
      </c>
      <c r="B30" s="11"/>
      <c r="C30" s="11"/>
      <c r="D30" s="11"/>
      <c r="E30" s="11"/>
      <c r="F30" s="11"/>
      <c r="G30" s="11"/>
    </row>
    <row r="31" customFormat="false" ht="29.25" hidden="false" customHeight="true" outlineLevel="0" collapsed="false">
      <c r="A31" s="11" t="s">
        <v>33</v>
      </c>
      <c r="B31" s="11"/>
      <c r="C31" s="11"/>
      <c r="D31" s="11"/>
      <c r="E31" s="11"/>
      <c r="F31" s="11"/>
      <c r="G31" s="11"/>
    </row>
    <row r="32" customFormat="false" ht="29.25" hidden="false" customHeight="true" outlineLevel="0" collapsed="false">
      <c r="A32" s="11" t="s">
        <v>34</v>
      </c>
      <c r="B32" s="11"/>
      <c r="C32" s="11"/>
      <c r="D32" s="11"/>
      <c r="E32" s="11"/>
      <c r="F32" s="11"/>
      <c r="G32" s="11"/>
    </row>
    <row r="33" customFormat="false" ht="29.25" hidden="false" customHeight="true" outlineLevel="0" collapsed="false">
      <c r="A33" s="11" t="s">
        <v>35</v>
      </c>
      <c r="B33" s="11"/>
      <c r="C33" s="11"/>
      <c r="D33" s="11"/>
      <c r="E33" s="11"/>
      <c r="F33" s="11"/>
      <c r="G33" s="11"/>
    </row>
    <row r="34" customFormat="false" ht="29.25" hidden="false" customHeight="true" outlineLevel="0" collapsed="false">
      <c r="A34" s="11" t="s">
        <v>36</v>
      </c>
      <c r="B34" s="11"/>
      <c r="C34" s="11"/>
      <c r="D34" s="11"/>
      <c r="E34" s="11"/>
      <c r="F34" s="11"/>
      <c r="G34" s="11"/>
    </row>
    <row r="35" customFormat="false" ht="29.25" hidden="false" customHeight="true" outlineLevel="0" collapsed="false">
      <c r="A35" s="11" t="s">
        <v>37</v>
      </c>
      <c r="B35" s="11"/>
      <c r="C35" s="11"/>
      <c r="D35" s="11"/>
      <c r="E35" s="11"/>
      <c r="F35" s="11"/>
      <c r="G35" s="11"/>
    </row>
    <row r="36" customFormat="false" ht="29.25" hidden="false" customHeight="true" outlineLevel="0" collapsed="false">
      <c r="A36" s="11" t="s">
        <v>38</v>
      </c>
      <c r="B36" s="11"/>
      <c r="C36" s="11"/>
      <c r="D36" s="11"/>
      <c r="E36" s="11"/>
      <c r="F36" s="11"/>
      <c r="G36" s="11"/>
    </row>
    <row r="37" customFormat="false" ht="16.5" hidden="false" customHeight="true" outlineLevel="0" collapsed="false">
      <c r="A37" s="11" t="s">
        <v>39</v>
      </c>
      <c r="B37" s="11"/>
      <c r="C37" s="11"/>
      <c r="D37" s="11"/>
      <c r="E37" s="11"/>
      <c r="F37" s="11"/>
      <c r="G37" s="11"/>
    </row>
    <row r="38" customFormat="false" ht="16.5" hidden="false" customHeight="true" outlineLevel="0" collapsed="false">
      <c r="A38" s="11" t="s">
        <v>40</v>
      </c>
      <c r="B38" s="11"/>
      <c r="C38" s="11"/>
      <c r="D38" s="11"/>
      <c r="E38" s="11"/>
      <c r="F38" s="11"/>
      <c r="G38" s="11"/>
    </row>
    <row r="39" customFormat="false" ht="29.25" hidden="false" customHeight="true" outlineLevel="0" collapsed="false">
      <c r="A39" s="11" t="s">
        <v>41</v>
      </c>
      <c r="B39" s="11"/>
      <c r="C39" s="11"/>
      <c r="D39" s="11"/>
      <c r="E39" s="11"/>
      <c r="F39" s="11"/>
      <c r="G39" s="11"/>
    </row>
    <row r="40" customFormat="false" ht="16.5" hidden="false" customHeight="true" outlineLevel="0" collapsed="false">
      <c r="A40" s="11" t="s">
        <v>42</v>
      </c>
      <c r="B40" s="11"/>
      <c r="C40" s="11"/>
      <c r="D40" s="11"/>
      <c r="E40" s="11"/>
      <c r="F40" s="11"/>
      <c r="G40" s="11"/>
    </row>
    <row r="42" customFormat="false" ht="15" hidden="false" customHeight="false" outlineLevel="0" collapsed="false">
      <c r="A42" s="3" t="s">
        <v>43</v>
      </c>
    </row>
    <row r="43" customFormat="false" ht="15" hidden="false" customHeight="true" outlineLevel="0" collapsed="false">
      <c r="A43" s="4" t="s">
        <v>44</v>
      </c>
      <c r="B43" s="12" t="s">
        <v>45</v>
      </c>
      <c r="C43" s="12"/>
      <c r="D43" s="12"/>
      <c r="E43" s="12"/>
      <c r="F43" s="12"/>
      <c r="G43" s="12"/>
    </row>
    <row r="44" customFormat="false" ht="15" hidden="false" customHeight="true" outlineLevel="0" collapsed="false">
      <c r="A44" s="4" t="s">
        <v>46</v>
      </c>
      <c r="B44" s="12" t="s">
        <v>47</v>
      </c>
      <c r="C44" s="12"/>
      <c r="D44" s="12"/>
      <c r="E44" s="12"/>
      <c r="F44" s="12"/>
      <c r="G44" s="12"/>
    </row>
    <row r="45" customFormat="false" ht="15" hidden="false" customHeight="true" outlineLevel="0" collapsed="false">
      <c r="A45" s="4" t="s">
        <v>48</v>
      </c>
      <c r="B45" s="12" t="s">
        <v>49</v>
      </c>
      <c r="C45" s="12"/>
      <c r="D45" s="12"/>
      <c r="E45" s="12"/>
      <c r="F45" s="12"/>
      <c r="G45" s="12"/>
    </row>
    <row r="46" customFormat="false" ht="15" hidden="false" customHeight="true" outlineLevel="0" collapsed="false">
      <c r="A46" s="4" t="s">
        <v>50</v>
      </c>
      <c r="B46" s="12" t="s">
        <v>51</v>
      </c>
      <c r="C46" s="12"/>
      <c r="D46" s="12"/>
      <c r="E46" s="12"/>
      <c r="F46" s="12"/>
      <c r="G46" s="12"/>
    </row>
    <row r="47" customFormat="false" ht="15" hidden="false" customHeight="true" outlineLevel="0" collapsed="false">
      <c r="A47" s="4" t="s">
        <v>52</v>
      </c>
      <c r="B47" s="12" t="s">
        <v>53</v>
      </c>
      <c r="C47" s="12"/>
      <c r="D47" s="12"/>
      <c r="E47" s="12"/>
      <c r="F47" s="12"/>
      <c r="G47" s="12"/>
    </row>
    <row r="48" customFormat="false" ht="23.85" hidden="false" customHeight="true" outlineLevel="0" collapsed="false">
      <c r="A48" s="4" t="s">
        <v>54</v>
      </c>
      <c r="B48" s="12" t="s">
        <v>55</v>
      </c>
      <c r="C48" s="12"/>
      <c r="D48" s="12"/>
      <c r="E48" s="12"/>
      <c r="F48" s="12"/>
      <c r="G48" s="12"/>
    </row>
    <row r="50" customFormat="false" ht="15" hidden="false" customHeight="false" outlineLevel="0" collapsed="false">
      <c r="A50" s="3" t="s">
        <v>56</v>
      </c>
    </row>
    <row r="51" customFormat="false" ht="30" hidden="false" customHeight="true" outlineLevel="0" collapsed="false">
      <c r="A51" s="11" t="s">
        <v>57</v>
      </c>
      <c r="B51" s="11"/>
      <c r="C51" s="11"/>
      <c r="D51" s="11"/>
      <c r="E51" s="11"/>
      <c r="F51" s="11"/>
      <c r="G51" s="11"/>
    </row>
    <row r="52" customFormat="false" ht="30" hidden="false" customHeight="true" outlineLevel="0" collapsed="false">
      <c r="A52" s="11" t="s">
        <v>58</v>
      </c>
      <c r="B52" s="11"/>
      <c r="C52" s="11"/>
      <c r="D52" s="11"/>
      <c r="E52" s="11"/>
      <c r="F52" s="11"/>
      <c r="G52" s="11"/>
    </row>
    <row r="53" customFormat="false" ht="42.75" hidden="false" customHeight="true" outlineLevel="0" collapsed="false">
      <c r="A53" s="11" t="s">
        <v>59</v>
      </c>
      <c r="B53" s="11"/>
      <c r="C53" s="11"/>
      <c r="D53" s="11"/>
      <c r="E53" s="11"/>
      <c r="F53" s="11"/>
      <c r="G53" s="11"/>
    </row>
    <row r="54" customFormat="false" ht="42.75" hidden="false" customHeight="true" outlineLevel="0" collapsed="false">
      <c r="A54" s="11" t="s">
        <v>60</v>
      </c>
      <c r="B54" s="11"/>
      <c r="C54" s="11"/>
      <c r="D54" s="11"/>
      <c r="E54" s="11"/>
      <c r="F54" s="11"/>
      <c r="G54" s="11"/>
    </row>
    <row r="55" customFormat="false" ht="30" hidden="false" customHeight="true" outlineLevel="0" collapsed="false">
      <c r="A55" s="11" t="s">
        <v>61</v>
      </c>
      <c r="B55" s="11"/>
      <c r="C55" s="11"/>
      <c r="D55" s="11"/>
      <c r="E55" s="11"/>
      <c r="F55" s="11"/>
      <c r="G55" s="11"/>
    </row>
    <row r="56" customFormat="false" ht="30" hidden="false" customHeight="true" outlineLevel="0" collapsed="false">
      <c r="A56" s="11" t="s">
        <v>62</v>
      </c>
      <c r="B56" s="11"/>
      <c r="C56" s="11"/>
      <c r="D56" s="11"/>
      <c r="E56" s="11"/>
      <c r="F56" s="11"/>
      <c r="G56" s="11"/>
    </row>
  </sheetData>
  <mergeCells count="29">
    <mergeCell ref="A30:G30"/>
    <mergeCell ref="A31:G31"/>
    <mergeCell ref="A32:G32"/>
    <mergeCell ref="A33:G33"/>
    <mergeCell ref="A34:G34"/>
    <mergeCell ref="A35:G35"/>
    <mergeCell ref="A36:G36"/>
    <mergeCell ref="A37:G37"/>
    <mergeCell ref="A38:G38"/>
    <mergeCell ref="A39:G39"/>
    <mergeCell ref="A40:G40"/>
    <mergeCell ref="B43:G43"/>
    <mergeCell ref="B44:G44"/>
    <mergeCell ref="B45:G45"/>
    <mergeCell ref="B46:G46"/>
    <mergeCell ref="B47:G47"/>
    <mergeCell ref="B48:G48"/>
    <mergeCell ref="A51:G51"/>
    <mergeCell ref="A52:G52"/>
    <mergeCell ref="A53:G53"/>
    <mergeCell ref="A54:G54"/>
    <mergeCell ref="A55:G55"/>
    <mergeCell ref="A56:G56"/>
    <mergeCell ref="A2:G2"/>
    <mergeCell ref="B5:G5"/>
    <mergeCell ref="B6:G6"/>
    <mergeCell ref="B7:G7"/>
    <mergeCell ref="B8:G8"/>
    <mergeCell ref="B9:G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95"/>
    <col collapsed="false" customWidth="true" hidden="false" outlineLevel="0" max="4" min="4" style="0" width="38"/>
  </cols>
  <sheetData>
    <row r="1" customFormat="false" ht="17.35" hidden="false" customHeight="false" outlineLevel="0" collapsed="false">
      <c r="A1" s="1" t="s">
        <v>63</v>
      </c>
    </row>
    <row r="2" customFormat="false" ht="42" hidden="false" customHeight="true" outlineLevel="0" collapsed="false">
      <c r="A2" s="11" t="s">
        <v>64</v>
      </c>
      <c r="B2" s="11"/>
      <c r="C2" s="11"/>
      <c r="D2" s="11"/>
    </row>
    <row r="4" customFormat="false" ht="15" hidden="false" customHeight="false" outlineLevel="0" collapsed="false">
      <c r="A4" s="6" t="s">
        <v>65</v>
      </c>
      <c r="B4" s="6" t="s">
        <v>66</v>
      </c>
      <c r="C4" s="6" t="s">
        <v>67</v>
      </c>
      <c r="D4" s="6" t="s">
        <v>68</v>
      </c>
    </row>
    <row r="5" customFormat="false" hidden="false" outlineLevel="0" collapsed="false" ht="80.00" customHeight="true">
      <c r="A5" s="7" t="s">
        <v>69</v>
      </c>
      <c r="B5" s="7" t="s">
        <v>70</v>
      </c>
      <c r="C5" s="8" t="s">
        <v>71</v>
      </c>
      <c r="D5" s="5" t="inlineStr">
        <is>
          <t xml:space="preserve">The workbook accounts and product fixtures were not created or reset. This is a source review rather than a live test using those accounts.</t>
        </is>
      </c>
    </row>
    <row r="6" customFormat="false" hidden="false" outlineLevel="0" collapsed="false" ht="72.00" customHeight="true">
      <c r="A6" s="7" t="s">
        <v>72</v>
      </c>
      <c r="B6" s="7" t="s">
        <v>73</v>
      </c>
      <c r="C6" s="8" t="s">
        <v>74</v>
      </c>
      <c r="D6" s="5" t="inlineStr">
        <is>
          <t xml:space="preserve">Checkout accepts one voucher code for the entire cart. There is no store, platform, and shipping voucher stack.</t>
        </is>
      </c>
    </row>
    <row r="7" customFormat="false" hidden="false" outlineLevel="0" collapsed="false" ht="80.00" customHeight="true">
      <c r="A7" s="7" t="s">
        <v>75</v>
      </c>
      <c r="B7" s="7" t="s">
        <v>76</v>
      </c>
      <c r="C7" s="8" t="s">
        <v>77</v>
      </c>
      <c r="D7" s="5" t="inlineStr">
        <is>
          <t xml:space="preserve">Checkout deducts stock when an order is placed. Cancellation restores product stock even for a variant purchase, and concurrent stock checks are not locked.</t>
        </is>
      </c>
    </row>
    <row r="8" customFormat="false" hidden="false" outlineLevel="0" collapsed="false" ht="72.00" customHeight="true">
      <c r="A8" s="7" t="s">
        <v>78</v>
      </c>
      <c r="B8" s="7" t="s">
        <v>79</v>
      </c>
      <c r="C8" s="8" t="s">
        <v>80</v>
      </c>
      <c r="D8" s="5" t="inlineStr">
        <is>
          <t xml:space="preserve">Voucher spend uses the current selling price plus any variant price adjustment. Comparison prices are not charged.</t>
        </is>
      </c>
    </row>
    <row r="9" customFormat="false" hidden="false" outlineLevel="0" collapsed="false" ht="80.00" customHeight="true">
      <c r="A9" s="7" t="s">
        <v>81</v>
      </c>
      <c r="B9" s="7" t="s">
        <v>82</v>
      </c>
      <c r="C9" s="8" t="s">
        <v>83</v>
      </c>
      <c r="D9" s="5" t="inlineStr">
        <is>
          <t xml:space="preserve">Comparison-price sale listings exist, but timed flash sales, flash allocations, and mixed-price overflow lines are not implemented.</t>
        </is>
      </c>
    </row>
    <row r="10" customFormat="false" hidden="false" outlineLevel="0" collapsed="false" ht="80.00" customHeight="true">
      <c r="A10" s="7" t="s">
        <v>84</v>
      </c>
      <c r="B10" s="7" t="s">
        <v>85</v>
      </c>
      <c r="C10" s="8" t="s">
        <v>86</v>
      </c>
      <c r="D10" s="5" t="inlineStr">
        <is>
          <t xml:space="preserve">Buyer cancellation is allowed for pending and confirmed orders. Online-payment deadlines and unpaid auto-cancellation are not implemented.</t>
        </is>
      </c>
    </row>
    <row r="11" customFormat="false" hidden="false" outlineLevel="0" collapsed="false" ht="80.00" customHeight="true">
      <c r="A11" s="7" t="s">
        <v>87</v>
      </c>
      <c r="B11" s="7" t="s">
        <v>88</v>
      </c>
      <c r="C11" s="8" t="s">
        <v>89</v>
      </c>
      <c r="D11" s="5" t="inlineStr">
        <is>
          <t xml:space="preserve">The detail page stores one selected variant ID, even when options are displayed in groups. The buyer store page has no custom category tree.</t>
        </is>
      </c>
    </row>
    <row r="12" customFormat="false" hidden="false" outlineLevel="0" collapsed="false" ht="80.25" customHeight="true">
      <c r="A12" s="7" t="s">
        <v>90</v>
      </c>
      <c r="B12" s="7" t="s">
        <v>91</v>
      </c>
      <c r="C12" s="8" t="s">
        <v>92</v>
      </c>
      <c r="D12" s="5" t="inlineStr">
        <is>
          <t xml:space="preserve">There is one order-level voucher discount, without voucher funding attribution, store splitting, or refund allocation.</t>
        </is>
      </c>
    </row>
    <row r="13" customFormat="false" hidden="false" outlineLevel="0" collapsed="false" ht="72.00" customHeight="true">
      <c r="A13" s="7" t="s">
        <v>93</v>
      </c>
      <c r="B13" s="7" t="s">
        <v>94</v>
      </c>
      <c r="C13" s="8" t="s">
        <v>95</v>
      </c>
      <c r="D13" s="5" t="inlineStr">
        <is>
          <t xml:space="preserve">Buyer totals are rounded to two decimal places. Seller commissions and earnings are not calculated by this buyer checkout.</t>
        </is>
      </c>
    </row>
    <row r="14" customFormat="false" hidden="false" outlineLevel="0" collapsed="false" ht="72.00" customHeight="true">
      <c r="A14" s="7" t="s">
        <v>96</v>
      </c>
      <c r="B14" s="7" t="s">
        <v>97</v>
      </c>
      <c r="C14" s="8" t="s">
        <v>98</v>
      </c>
      <c r="D14" s="5" t="inlineStr">
        <is>
          <t xml:space="preserve">Buyer tabs are All, To Ship, In Transit, Delivered, and Cancelled. Progress shows Placed, Confirmed, On the Way, and Delivered.</t>
        </is>
      </c>
    </row>
    <row r="15" customFormat="false" hidden="false" outlineLevel="0" collapsed="false" ht="72.00" customHeight="true">
      <c r="A15" s="7" t="s">
        <v>99</v>
      </c>
      <c r="B15" s="7" t="s">
        <v>100</v>
      </c>
      <c r="C15" s="8" t="s">
        <v>101</v>
      </c>
      <c r="D15" s="5" t="inlineStr">
        <is>
          <t xml:space="preserve">There is no Order Received action, automatic completion process, or return-request window in the supplied buyer code.</t>
        </is>
      </c>
    </row>
    <row r="16" customFormat="false" hidden="false" outlineLevel="0" collapsed="false" ht="108.00" customHeight="true">
      <c r="A16" s="7" t="s">
        <v>102</v>
      </c>
      <c r="B16" s="7" t="s">
        <v>103</v>
      </c>
      <c r="C16" s="8" t="s">
        <v>104</v>
      </c>
      <c r="D16" s="5" t="inlineStr">
        <is>
          <t xml:space="preserve">Reviews accept one to five stars and up to 2,000 comment characters, without photos. The API checks order ownership and product membership but has no completion, age, or edit-count gate.</t>
        </is>
      </c>
    </row>
    <row r="17" customFormat="false" hidden="false" outlineLevel="0" collapsed="false" ht="72.00" customHeight="true">
      <c r="A17" s="7" t="s">
        <v>105</v>
      </c>
      <c r="B17" s="7" t="s">
        <v>106</v>
      </c>
      <c r="C17" s="8" t="s">
        <v>107</v>
      </c>
      <c r="D17" s="5" t="inlineStr">
        <is>
          <t xml:space="preserve">Failed-delivery attempt limits and Return to Sender are logistics features outside this buyer review.</t>
        </is>
      </c>
    </row>
    <row r="18" customFormat="false" hidden="false" outlineLevel="0" collapsed="false" ht="72.00" customHeight="true">
      <c r="A18" s="7" t="s">
        <v>108</v>
      </c>
      <c r="B18" s="7" t="s">
        <v>109</v>
      </c>
      <c r="C18" s="8" t="s">
        <v>110</v>
      </c>
      <c r="D18" s="5" t="inlineStr">
        <is>
          <t xml:space="preserve">Rider job acceptance and assignment rules are outside this buyer review.</t>
        </is>
      </c>
    </row>
    <row r="19" customFormat="false" hidden="false" outlineLevel="0" collapsed="false" ht="72.00" customHeight="true">
      <c r="A19" s="7" t="s">
        <v>111</v>
      </c>
      <c r="B19" s="7" t="s">
        <v>112</v>
      </c>
      <c r="C19" s="8" t="s">
        <v>113</v>
      </c>
      <c r="D19" s="5" t="inlineStr">
        <is>
          <t xml:space="preserve">Seller earnings and payouts are outside this buyer application flow.</t>
        </is>
      </c>
    </row>
    <row r="20" customFormat="false" hidden="false" outlineLevel="0" collapsed="false" ht="80.00" customHeight="true">
      <c r="A20" s="7" t="s">
        <v>114</v>
      </c>
      <c r="B20" s="7" t="s">
        <v>115</v>
      </c>
      <c r="C20" s="8" t="s">
        <v>116</v>
      </c>
      <c r="D20" s="5" t="inlineStr">
        <is>
          <t xml:space="preserve">Profile images are uploaded from the gallery without explicit type or five-megabyte validation in the controller. Reviews and chat have no image attachments.</t>
        </is>
      </c>
    </row>
    <row r="21" customFormat="false" hidden="false" outlineLevel="0" collapsed="false" ht="80.00" customHeight="true">
      <c r="A21" s="7" t="s">
        <v>117</v>
      </c>
      <c r="B21" s="7" t="s">
        <v>118</v>
      </c>
      <c r="C21" s="8" t="s">
        <v>119</v>
      </c>
      <c r="D21" s="5" t="inlineStr">
        <is>
          <t xml:space="preserve">Cart quantities must be whole numbers of at least one and cannot exceed available stock. Per-buyer lifetime limits are not implemented.</t>
        </is>
      </c>
    </row>
    <row r="22" customFormat="false" hidden="false" outlineLevel="0" collapsed="false" ht="80.00" customHeight="true">
      <c r="A22" s="7" t="s">
        <v>120</v>
      </c>
      <c r="B22" s="7" t="s">
        <v>121</v>
      </c>
      <c r="C22" s="8" t="s">
        <v>122</v>
      </c>
      <c r="D22" s="5" t="inlineStr">
        <is>
          <t xml:space="preserve">The buyer app has no vacation-store purchase block. Store verification and seller approval should be checked separately against the seller implementation.</t>
        </is>
      </c>
    </row>
    <row r="23" customFormat="false" hidden="false" outlineLevel="0" collapsed="false" ht="80.00" customHeight="true">
      <c r="A23" s="7" t="s">
        <v>123</v>
      </c>
      <c r="B23" s="7" t="s">
        <v>124</v>
      </c>
      <c r="C23" s="8" t="s">
        <v>125</v>
      </c>
      <c r="D23" s="5" t="inlineStr">
        <is>
          <t xml:space="preserve">Active-only filters exist on product listings and detail requests. Favorites and cart do not provide robust missing-product placeholders.</t>
        </is>
      </c>
    </row>
    <row r="24" customFormat="false" hidden="false" outlineLevel="0" collapsed="false" ht="72.00" customHeight="true">
      <c r="A24" s="7" t="s">
        <v>126</v>
      </c>
      <c r="B24" s="7" t="s">
        <v>127</v>
      </c>
      <c r="C24" s="8" t="s">
        <v>128</v>
      </c>
      <c r="D24" s="5" t="inlineStr">
        <is>
          <t xml:space="preserve">Checkout does not add shipping fees or calculate rates from address, store, or weight.</t>
        </is>
      </c>
    </row>
    <row r="25" customFormat="false" hidden="false" outlineLevel="0" collapsed="false" ht="72.00" customHeight="true">
      <c r="A25" s="7" t="s">
        <v>129</v>
      </c>
      <c r="B25" s="7" t="s">
        <v>130</v>
      </c>
      <c r="C25" s="8" t="s">
        <v>131</v>
      </c>
      <c r="D25" s="5" t="inlineStr">
        <is>
          <t xml:space="preserve">Cancelling an order does not reduce voucher usage or return a voucher to a buyer wallet.</t>
        </is>
      </c>
    </row>
    <row r="26" customFormat="false" hidden="false" outlineLevel="0" collapsed="false" ht="94.00" customHeight="true">
      <c r="A26" s="7" t="s">
        <v>132</v>
      </c>
      <c r="B26" s="7" t="s">
        <v>133</v>
      </c>
      <c r="C26" s="8" t="s">
        <v>134</v>
      </c>
      <c r="D26" s="5" t="inlineStr">
        <is>
          <t xml:space="preserve">Buyer record endpoints use authentication and ownership checks. No 30-minute inactivity logout is implemented in the buyer flow, and cross-role access was not executed.</t>
        </is>
      </c>
    </row>
    <row r="27" customFormat="false" hidden="false" outlineLevel="0" collapsed="false" ht="72.00" customHeight="true">
      <c r="A27" s="7" t="s">
        <v>135</v>
      </c>
      <c r="B27" s="7" t="s">
        <v>136</v>
      </c>
      <c r="C27" s="8" t="s">
        <v>137</v>
      </c>
      <c r="D27" s="5" t="inlineStr">
        <is>
          <t xml:space="preserve">The inbox reads the buyer's order history and review acknowledgements. There is no mobile push integration.</t>
        </is>
      </c>
    </row>
    <row r="28" customFormat="false" hidden="false" outlineLevel="0" collapsed="false" ht="72.00" customHeight="true">
      <c r="A28" s="7" t="s">
        <v>138</v>
      </c>
      <c r="B28" s="7" t="s">
        <v>139</v>
      </c>
      <c r="C28" s="8" t="s">
        <v>140</v>
      </c>
      <c r="D28" s="5" t="inlineStr">
        <is>
          <t xml:space="preserve">COD remittance and reconciliation belong to logistics roles and are outside this buyer review.</t>
        </is>
      </c>
    </row>
    <row r="29" customFormat="false" hidden="false" outlineLevel="0" collapsed="false" ht="80.00" customHeight="true">
      <c r="A29" s="7" t="s">
        <v>141</v>
      </c>
      <c r="B29" s="7" t="s">
        <v>142</v>
      </c>
      <c r="C29" s="8" t="s">
        <v>143</v>
      </c>
      <c r="D29" s="5" t="inlineStr">
        <is>
          <t xml:space="preserve">Chat accepts up to 2,000 characters and API order notes up to 1,000, although checkout has no note field. Cancellation asks for confirmation without a reason.</t>
        </is>
      </c>
    </row>
    <row r="30" customFormat="false" hidden="false" outlineLevel="0" collapsed="false" ht="80.00" customHeight="true">
      <c r="A30" s="7" t="s">
        <v>144</v>
      </c>
      <c r="B30" s="7" t="s">
        <v>145</v>
      </c>
      <c r="C30" s="8" t="s">
        <v>146</v>
      </c>
      <c r="D30" s="5" t="inlineStr">
        <is>
          <t xml:space="preserve">Voucher entry is required text up to 50 characters and is not forced to uppercase. The supplied schema compares voucher codes without regard to letter case.</t>
        </is>
      </c>
    </row>
    <row r="31" customFormat="false" hidden="false" outlineLevel="0" collapsed="false" ht="72.00" customHeight="true">
      <c r="A31" s="7" t="s">
        <v>147</v>
      </c>
      <c r="B31" s="7" t="s">
        <v>148</v>
      </c>
      <c r="C31" s="8" t="s">
        <v>149</v>
      </c>
      <c r="D31" s="5" t="inlineStr">
        <is>
          <t xml:space="preserve">There is no claimable buyer voucher wallet. Seller voucher-editing rules were not assessed.</t>
        </is>
      </c>
    </row>
    <row r="32" customFormat="false" hidden="false" outlineLevel="0" collapsed="false" ht="80.00" customHeight="true">
      <c r="A32" s="7" t="s">
        <v>150</v>
      </c>
      <c r="B32" s="7" t="s">
        <v>151</v>
      </c>
      <c r="C32" s="8" t="s">
        <v>152</v>
      </c>
      <c r="D32" s="5" t="inlineStr">
        <is>
          <t xml:space="preserve">The buyer sees price and comparison-price fields. Timed sale creation, overlap rules, and End Now controls are outside this implementation.</t>
        </is>
      </c>
    </row>
    <row r="33" customFormat="false" hidden="false" outlineLevel="0" collapsed="false" ht="72.00" customHeight="true">
      <c r="A33" s="7" t="s">
        <v>153</v>
      </c>
      <c r="B33" s="7" t="s">
        <v>154</v>
      </c>
      <c r="C33" s="8" t="s">
        <v>155</v>
      </c>
      <c r="D33" s="5" t="inlineStr">
        <is>
          <t xml:space="preserve">A five-unit stock-crossing alert was not found in the buyer notification flow.</t>
        </is>
      </c>
    </row>
    <row r="34" customFormat="false" hidden="false" outlineLevel="0" collapsed="false" ht="94.00" customHeight="true">
      <c r="A34" s="7" t="s">
        <v>156</v>
      </c>
      <c r="B34" s="7" t="s">
        <v>157</v>
      </c>
      <c r="C34" s="8" t="s">
        <v>158</v>
      </c>
      <c r="D34" s="5" t="inlineStr">
        <is>
          <t xml:space="preserve">No ten-address cap or default-delete safeguard is implemented. Orders reference the address record instead of storing a snapshot; the app exposes Add Address without a management list.</t>
        </is>
      </c>
    </row>
    <row r="35" customFormat="false" hidden="false" outlineLevel="0" collapsed="false" ht="72.00" customHeight="true">
      <c r="A35" s="7" t="s">
        <v>159</v>
      </c>
      <c r="B35" s="7" t="s">
        <v>160</v>
      </c>
      <c r="C35" s="8" t="s">
        <v>161</v>
      </c>
      <c r="D35" s="5" t="inlineStr">
        <is>
          <t xml:space="preserve">Return requests, evidence uploads, disputes, and refund processing are not implemented in this buyer app.</t>
        </is>
      </c>
    </row>
    <row r="36" customFormat="false" hidden="false" outlineLevel="0" collapsed="false" ht="80.00" customHeight="true">
      <c r="A36" s="7" t="s">
        <v>162</v>
      </c>
      <c r="B36" s="7" t="s">
        <v>163</v>
      </c>
      <c r="C36" s="8" t="s">
        <v>164</v>
      </c>
      <c r="D36" s="5" t="inlineStr">
        <is>
          <t xml:space="preserve">The buyer app has no displayed delivery OTP. Proof-of-delivery capture and retry locking belong to other roles and were not assessed.</t>
        </is>
      </c>
    </row>
    <row r="37" customFormat="false" hidden="false" outlineLevel="0" collapsed="false" ht="72.00" customHeight="true">
      <c r="A37" s="7" t="s">
        <v>165</v>
      </c>
      <c r="B37" s="7" t="s">
        <v>166</v>
      </c>
      <c r="C37" s="8" t="s">
        <v>167</v>
      </c>
      <c r="D37" s="5" t="inlineStr">
        <is>
          <t xml:space="preserve">Rider pay is outside this buyer application flow.</t>
        </is>
      </c>
    </row>
    <row r="38" customFormat="false" hidden="false" outlineLevel="0" collapsed="false" ht="72.00" customHeight="true">
      <c r="A38" s="7" t="s">
        <v>168</v>
      </c>
      <c r="B38" s="7" t="s">
        <v>169</v>
      </c>
      <c r="C38" s="8" t="s">
        <v>170</v>
      </c>
      <c r="D38" s="5" t="inlineStr">
        <is>
          <t xml:space="preserve">Dispatch and rider reassignment are outside this buyer application flow.</t>
        </is>
      </c>
    </row>
    <row r="39" customFormat="false" hidden="false" outlineLevel="0" collapsed="false" ht="72.00" customHeight="true">
      <c r="A39" s="7" t="s">
        <v>171</v>
      </c>
      <c r="B39" s="7" t="s">
        <v>172</v>
      </c>
      <c r="C39" s="8" t="s">
        <v>173</v>
      </c>
      <c r="D39" s="5" t="inlineStr">
        <is>
          <t xml:space="preserve">Order status history exists, but the cross-role immutable audit system described here was not verified.</t>
        </is>
      </c>
    </row>
    <row r="40" customFormat="false" hidden="false" outlineLevel="0" collapsed="false" ht="72.00" customHeight="true">
      <c r="A40" s="7" t="s">
        <v>174</v>
      </c>
      <c r="B40" s="7" t="s">
        <v>175</v>
      </c>
      <c r="C40" s="8" t="s">
        <v>176</v>
      </c>
      <c r="D40" s="5" t="inlineStr">
        <is>
          <t xml:space="preserve">Report export is not part of the buyer screens reviewed.</t>
        </is>
      </c>
    </row>
    <row r="41" customFormat="false" hidden="false" outlineLevel="0" collapsed="false" ht="80.00" customHeight="true">
      <c r="A41" s="7" t="s">
        <v>177</v>
      </c>
      <c r="B41" s="7" t="s">
        <v>178</v>
      </c>
      <c r="C41" s="8" t="s">
        <v>179</v>
      </c>
      <c r="D41" s="5" t="inlineStr">
        <is>
          <t xml:space="preserve">Some submit buttons are disabled while busy. There is no general server-side request key or locking that guarantees every duplicate action is processed once.</t>
        </is>
      </c>
    </row>
    <row r="42" customFormat="false" hidden="false" outlineLevel="0" collapsed="false" ht="93.00" customHeight="true">
      <c r="A42" s="7" t="s">
        <v>180</v>
      </c>
      <c r="B42" s="7" t="s">
        <v>181</v>
      </c>
      <c r="C42" s="8" t="s">
        <v>182</v>
      </c>
      <c r="D42" s="5" t="inlineStr">
        <is>
          <t xml:space="preserve">The full hub-to-hub courier workflow is outside the supplied buyer screens and was not tested.</t>
        </is>
      </c>
    </row>
    <row r="43" customFormat="false" hidden="false" outlineLevel="0" collapsed="false" ht="118.50" customHeight="true">
      <c r="A43" s="7" t="s">
        <v>183</v>
      </c>
      <c r="B43" s="7" t="s">
        <v>184</v>
      </c>
      <c r="C43" s="8" t="s">
        <v>185</v>
      </c>
      <c r="D43" s="5" t="inlineStr">
        <is>
          <t xml:space="preserve">Courier eligibility, vehicle capacity, and location checks are outside this buyer review.</t>
        </is>
      </c>
    </row>
    <row r="44" customFormat="false" hidden="false" outlineLevel="0" collapsed="false" ht="72.00" customHeight="true">
      <c r="A44" s="7" t="s">
        <v>186</v>
      </c>
      <c r="B44" s="7" t="s">
        <v>187</v>
      </c>
      <c r="C44" s="8" t="s">
        <v>188</v>
      </c>
      <c r="D44" s="5" t="inlineStr">
        <is>
          <t xml:space="preserve">Seal checks and parcel handover discrepancies are outside this buyer review.</t>
        </is>
      </c>
    </row>
    <row r="45" customFormat="false" hidden="false" outlineLevel="0" collapsed="false" ht="80.25" customHeight="true">
      <c r="A45" s="7" t="s">
        <v>189</v>
      </c>
      <c r="B45" s="7" t="s">
        <v>190</v>
      </c>
      <c r="C45" s="8" t="s">
        <v>191</v>
      </c>
      <c r="D45" s="5" t="inlineStr">
        <is>
          <t xml:space="preserve">Courier pay, delay reporting, and trip reassignment are outside this buyer review.</t>
        </is>
      </c>
    </row>
    <row r="46" customFormat="false" hidden="false" outlineLevel="0" collapsed="false" ht="72.00" customHeight="true">
      <c r="A46" s="7" t="s">
        <v>192</v>
      </c>
      <c r="B46" s="7" t="s">
        <v>193</v>
      </c>
      <c r="C46" s="8" t="s">
        <v>194</v>
      </c>
      <c r="D46" s="5" t="inlineStr">
        <is>
          <t xml:space="preserve">This review uses the Flutter buyer source, version 1.0.0+1; no installed mobile build or device session was tested.</t>
        </is>
      </c>
    </row>
    <row r="47" customFormat="false" hidden="false" outlineLevel="0" collapsed="false" ht="80.00" customHeight="true">
      <c r="A47" s="7" t="s">
        <v>195</v>
      </c>
      <c r="B47" s="7" t="s">
        <v>196</v>
      </c>
      <c r="C47" s="8" t="s">
        <v>197</v>
      </c>
      <c r="D47" s="5" t="inlineStr">
        <is>
          <t xml:space="preserve">Email, phone, and OTP keyboard types are configured where used. Other keyboard behaviour and keeping controls visible need a phone test.</t>
        </is>
      </c>
    </row>
    <row r="48" customFormat="false" hidden="false" outlineLevel="0" collapsed="false" ht="72.00" customHeight="true">
      <c r="A48" s="7" t="s">
        <v>198</v>
      </c>
      <c r="B48" s="7" t="s">
        <v>199</v>
      </c>
      <c r="C48" s="8" t="s">
        <v>200</v>
      </c>
      <c r="D48" s="5" t="inlineStr">
        <is>
          <t xml:space="preserve">The OTP is one six-digit numeric field. Codes last 10 minutes; the screen only counts down the 60-second resend cooldown.</t>
        </is>
      </c>
    </row>
    <row r="49" customFormat="false" hidden="false" outlineLevel="0" collapsed="false" ht="80.00" customHeight="true">
      <c r="A49" s="7" t="s">
        <v>201</v>
      </c>
      <c r="B49" s="7" t="s">
        <v>202</v>
      </c>
      <c r="C49" s="8" t="s">
        <v>203</v>
      </c>
      <c r="D49" s="5" t="inlineStr">
        <is>
          <t xml:space="preserve">Forms keep values in screen state, but there is no saved draft for process termination. Calls, rotation, locking, and app switching need a phone test.</t>
        </is>
      </c>
    </row>
    <row r="50" customFormat="false" hidden="false" outlineLevel="0" collapsed="false" ht="80.00" customHeight="true">
      <c r="A50" s="7" t="s">
        <v>204</v>
      </c>
      <c r="B50" s="7" t="s">
        <v>205</v>
      </c>
      <c r="C50" s="8" t="s">
        <v>206</v>
      </c>
      <c r="D50" s="5" t="inlineStr">
        <is>
          <t xml:space="preserve">Requests are sent online with error messages; offline actions are not queued. Dedicated retry and recovery for a lost server response are not implemented.</t>
        </is>
      </c>
    </row>
    <row r="51" customFormat="false" hidden="false" outlineLevel="0" collapsed="false" ht="80.00" customHeight="true">
      <c r="A51" s="7" t="s">
        <v>207</v>
      </c>
      <c r="B51" s="7" t="s">
        <v>208</v>
      </c>
      <c r="C51" s="8" t="s">
        <v>209</v>
      </c>
      <c r="D51" s="5" t="inlineStr">
        <is>
          <t xml:space="preserve">The profile uses a gallery picker. Custom camera, location, and push-permission recovery flows are not implemented; native permission behaviour needs a device test.</t>
        </is>
      </c>
    </row>
    <row r="52" customFormat="false" hidden="false" outlineLevel="0" collapsed="false" ht="94.00" customHeight="true">
      <c r="A52" s="7" t="s">
        <v>210</v>
      </c>
      <c r="B52" s="7" t="s">
        <v>211</v>
      </c>
      <c r="C52" s="8" t="s">
        <v>212</v>
      </c>
      <c r="D52" s="5" t="inlineStr">
        <is>
          <t xml:space="preserve">Profile and ID images are picked from the gallery. The buyer form does not offer camera or PDF selection, and upload controllers have no explicit five-megabyte limit.</t>
        </is>
      </c>
    </row>
    <row r="53" customFormat="false" hidden="false" outlineLevel="0" collapsed="false" ht="80.00" customHeight="true">
      <c r="A53" s="7" t="s">
        <v>213</v>
      </c>
      <c r="B53" s="7" t="s">
        <v>214</v>
      </c>
      <c r="C53" s="8" t="s">
        <v>215</v>
      </c>
      <c r="D53" s="5" t="inlineStr">
        <is>
          <t xml:space="preserve">Forms do not ask before discarding typed values. Logout clears navigation to login; system Back and swipe behaviour still need testing.</t>
        </is>
      </c>
    </row>
    <row r="54" customFormat="false" hidden="false" outlineLevel="0" collapsed="false" ht="72.00" customHeight="true">
      <c r="A54" s="7" t="s">
        <v>216</v>
      </c>
      <c r="B54" s="7" t="s">
        <v>217</v>
      </c>
      <c r="C54" s="8" t="s">
        <v>218</v>
      </c>
      <c r="D54" s="5" t="inlineStr">
        <is>
          <t xml:space="preserve">Login tokens and buyer details are saved locally and restored on startup. Password updates do not revoke other login tokens.</t>
        </is>
      </c>
    </row>
    <row r="55" customFormat="false" hidden="false" outlineLevel="0" collapsed="false" ht="72.00" customHeight="true">
      <c r="A55" s="7" t="s">
        <v>219</v>
      </c>
      <c r="B55" s="7" t="s">
        <v>220</v>
      </c>
      <c r="C55" s="8" t="s">
        <v>221</v>
      </c>
      <c r="D55" s="5" t="inlineStr">
        <is>
          <t xml:space="preserve">In-app order and review notifications are implemented. Background push notifications and push links are not.</t>
        </is>
      </c>
    </row>
    <row r="56" customFormat="false" hidden="false" outlineLevel="0" collapsed="false" ht="80.25" customHeight="true">
      <c r="A56" s="7" t="s">
        <v>222</v>
      </c>
      <c r="B56" s="7" t="s">
        <v>223</v>
      </c>
      <c r="C56" s="8" t="s">
        <v>224</v>
      </c>
      <c r="D56" s="5" t="inlineStr">
        <is>
          <t xml:space="preserve">Owner checks exist on buyer records, but the Android manifest has no product-link handler. Cross-role and direct-request behaviour was not executed.</t>
        </is>
      </c>
    </row>
    <row r="57" customFormat="false" hidden="false" outlineLevel="0" collapsed="false" ht="72.00" customHeight="true">
      <c r="A57" s="7" t="s">
        <v>225</v>
      </c>
      <c r="B57" s="7" t="s">
        <v>226</v>
      </c>
      <c r="C57" s="8" t="s">
        <v>227</v>
      </c>
      <c r="D57" s="5" t="inlineStr">
        <is>
          <t xml:space="preserve">The current app uses its light theme. Large fonts, small screens, keyboard overlap, and rotation still need checking on devices.</t>
        </is>
      </c>
    </row>
    <row r="58" customFormat="false" hidden="false" outlineLevel="0" collapsed="false" ht="72.00" customHeight="true">
      <c r="A58" s="7" t="s">
        <v>228</v>
      </c>
      <c r="B58" s="7" t="s">
        <v>229</v>
      </c>
      <c r="C58" s="8" t="s">
        <v>230</v>
      </c>
      <c r="D58" s="5" t="inlineStr">
        <is>
          <t xml:space="preserve">Rider location and online status belong to a rider application and are outside this buyer review.</t>
        </is>
      </c>
    </row>
    <row r="59" customFormat="false" hidden="false" outlineLevel="0" collapsed="false" ht="72.00" customHeight="true">
      <c r="A59" s="7" t="s">
        <v>231</v>
      </c>
      <c r="B59" s="7" t="s">
        <v>232</v>
      </c>
      <c r="C59" s="8" t="s">
        <v>233</v>
      </c>
      <c r="D59" s="5" t="inlineStr">
        <is>
          <t xml:space="preserve">Live barcode scanning and proof-of-delivery photos belong to other roles and are outside this buyer review.</t>
        </is>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4" min="3" style="0" width="40"/>
    <col collapsed="false" customWidth="true" hidden="false" outlineLevel="0" max="5" min="5" style="0" width="22"/>
    <col collapsed="false" customWidth="true" hidden="false" outlineLevel="0" max="6" min="6" style="0" width="44"/>
  </cols>
  <sheetData>
    <row r="1" customFormat="false" ht="17.35" hidden="false" customHeight="false" outlineLevel="0" collapsed="false">
      <c r="A1" s="1" t="s">
        <v>234</v>
      </c>
    </row>
    <row r="2" customFormat="false" ht="30" hidden="false" customHeight="true" outlineLevel="0" collapsed="false">
      <c r="A2" s="11" t="s">
        <v>235</v>
      </c>
      <c r="B2" s="11"/>
      <c r="C2" s="11"/>
      <c r="D2" s="11"/>
      <c r="E2" s="11"/>
      <c r="F2" s="11"/>
    </row>
    <row r="4" customFormat="false" ht="15" hidden="false" customHeight="false" outlineLevel="0" collapsed="false">
      <c r="A4" s="3" t="s">
        <v>236</v>
      </c>
    </row>
    <row r="5" customFormat="false" ht="15" hidden="false" customHeight="false" outlineLevel="0" collapsed="false">
      <c r="A5" s="6" t="s">
        <v>65</v>
      </c>
      <c r="B5" s="6" t="s">
        <v>237</v>
      </c>
      <c r="C5" s="6" t="s">
        <v>238</v>
      </c>
      <c r="D5" s="6" t="s">
        <v>239</v>
      </c>
      <c r="E5" s="6" t="s">
        <v>240</v>
      </c>
      <c r="F5" s="6" t="s">
        <v>241</v>
      </c>
    </row>
    <row r="6" customFormat="false" ht="16.5" hidden="false" customHeight="true" outlineLevel="0" collapsed="false">
      <c r="A6" s="4" t="s">
        <v>242</v>
      </c>
      <c r="B6" s="8" t="s">
        <v>243</v>
      </c>
      <c r="C6" s="8" t="s">
        <v>244</v>
      </c>
      <c r="D6" s="8" t="s">
        <v>245</v>
      </c>
      <c r="E6" s="8" t="s">
        <v>246</v>
      </c>
      <c r="F6" s="8" t="s">
        <v>247</v>
      </c>
    </row>
    <row r="7" customFormat="false" ht="29.25" hidden="false" customHeight="true" outlineLevel="0" collapsed="false">
      <c r="A7" s="4" t="s">
        <v>248</v>
      </c>
      <c r="B7" s="8" t="s">
        <v>243</v>
      </c>
      <c r="C7" s="8" t="s">
        <v>249</v>
      </c>
      <c r="D7" s="8" t="s">
        <v>250</v>
      </c>
      <c r="E7" s="8" t="s">
        <v>251</v>
      </c>
      <c r="F7" s="8" t="s">
        <v>252</v>
      </c>
    </row>
    <row r="8" customFormat="false" ht="29.25" hidden="false" customHeight="true" outlineLevel="0" collapsed="false">
      <c r="A8" s="4" t="s">
        <v>253</v>
      </c>
      <c r="B8" s="8" t="s">
        <v>254</v>
      </c>
      <c r="C8" s="8" t="s">
        <v>255</v>
      </c>
      <c r="D8" s="8" t="s">
        <v>256</v>
      </c>
      <c r="E8" s="8" t="s">
        <v>257</v>
      </c>
      <c r="F8" s="8" t="s">
        <v>258</v>
      </c>
    </row>
    <row r="9" customFormat="false" ht="16.5" hidden="false" customHeight="true" outlineLevel="0" collapsed="false">
      <c r="A9" s="4" t="s">
        <v>259</v>
      </c>
      <c r="B9" s="8" t="s">
        <v>254</v>
      </c>
      <c r="C9" s="8" t="s">
        <v>260</v>
      </c>
      <c r="D9" s="8" t="s">
        <v>261</v>
      </c>
      <c r="E9" s="8" t="s">
        <v>262</v>
      </c>
      <c r="F9" s="8" t="s">
        <v>263</v>
      </c>
    </row>
    <row r="10" customFormat="false" ht="29.25" hidden="false" customHeight="true" outlineLevel="0" collapsed="false">
      <c r="A10" s="4" t="s">
        <v>264</v>
      </c>
      <c r="B10" s="8" t="s">
        <v>254</v>
      </c>
      <c r="C10" s="8" t="s">
        <v>265</v>
      </c>
      <c r="D10" s="8" t="s">
        <v>266</v>
      </c>
      <c r="E10" s="8" t="s">
        <v>257</v>
      </c>
      <c r="F10" s="8" t="s">
        <v>267</v>
      </c>
    </row>
    <row r="11" customFormat="false" ht="29.25" hidden="false" customHeight="true" outlineLevel="0" collapsed="false">
      <c r="A11" s="4" t="s">
        <v>268</v>
      </c>
      <c r="B11" s="8" t="s">
        <v>269</v>
      </c>
      <c r="C11" s="8" t="s">
        <v>270</v>
      </c>
      <c r="D11" s="8" t="s">
        <v>271</v>
      </c>
      <c r="E11" s="8" t="s">
        <v>272</v>
      </c>
      <c r="F11" s="8" t="s">
        <v>273</v>
      </c>
    </row>
    <row r="12" customFormat="false" ht="29.25" hidden="false" customHeight="true" outlineLevel="0" collapsed="false">
      <c r="A12" s="4" t="s">
        <v>274</v>
      </c>
      <c r="B12" s="8" t="s">
        <v>269</v>
      </c>
      <c r="C12" s="8" t="s">
        <v>275</v>
      </c>
      <c r="D12" s="8" t="s">
        <v>276</v>
      </c>
      <c r="E12" s="8" t="s">
        <v>277</v>
      </c>
      <c r="F12" s="8" t="s">
        <v>278</v>
      </c>
    </row>
    <row r="13" customFormat="false" ht="16.5" hidden="false" customHeight="true" outlineLevel="0" collapsed="false">
      <c r="A13" s="4" t="s">
        <v>279</v>
      </c>
      <c r="B13" s="8" t="s">
        <v>280</v>
      </c>
      <c r="C13" s="8" t="s">
        <v>281</v>
      </c>
      <c r="D13" s="8" t="s">
        <v>282</v>
      </c>
      <c r="E13" s="8" t="s">
        <v>283</v>
      </c>
      <c r="F13" s="8" t="s">
        <v>284</v>
      </c>
    </row>
    <row r="14" customFormat="false" ht="29.25" hidden="false" customHeight="true" outlineLevel="0" collapsed="false">
      <c r="A14" s="4" t="s">
        <v>285</v>
      </c>
      <c r="B14" s="8" t="s">
        <v>280</v>
      </c>
      <c r="C14" s="8" t="s">
        <v>286</v>
      </c>
      <c r="D14" s="8" t="s">
        <v>287</v>
      </c>
      <c r="E14" s="8" t="s">
        <v>288</v>
      </c>
      <c r="F14" s="8" t="s">
        <v>289</v>
      </c>
    </row>
    <row r="15" customFormat="false" ht="29.25" hidden="false" customHeight="true" outlineLevel="0" collapsed="false">
      <c r="A15" s="4" t="s">
        <v>290</v>
      </c>
      <c r="B15" s="8" t="s">
        <v>280</v>
      </c>
      <c r="C15" s="8" t="s">
        <v>291</v>
      </c>
      <c r="D15" s="8" t="s">
        <v>292</v>
      </c>
      <c r="E15" s="8" t="s">
        <v>283</v>
      </c>
      <c r="F15" s="8" t="s">
        <v>293</v>
      </c>
    </row>
    <row r="16" customFormat="false" ht="29.25" hidden="false" customHeight="true" outlineLevel="0" collapsed="false">
      <c r="A16" s="4" t="s">
        <v>294</v>
      </c>
      <c r="B16" s="8" t="s">
        <v>294</v>
      </c>
      <c r="C16" s="8" t="s">
        <v>295</v>
      </c>
      <c r="D16" s="8" t="s">
        <v>296</v>
      </c>
      <c r="E16" s="8"/>
      <c r="F16" s="8" t="s">
        <v>297</v>
      </c>
    </row>
    <row r="18" customFormat="false" ht="15" hidden="false" customHeight="false" outlineLevel="0" collapsed="false">
      <c r="A18" s="3" t="s">
        <v>298</v>
      </c>
    </row>
    <row r="19" customFormat="false" ht="15" hidden="false" customHeight="false" outlineLevel="0" collapsed="false">
      <c r="A19" s="6" t="s">
        <v>65</v>
      </c>
      <c r="B19" s="6" t="s">
        <v>299</v>
      </c>
      <c r="C19" s="6" t="s">
        <v>300</v>
      </c>
      <c r="D19" s="6" t="s">
        <v>301</v>
      </c>
      <c r="E19" s="6" t="s">
        <v>302</v>
      </c>
      <c r="F19" s="6" t="s">
        <v>303</v>
      </c>
    </row>
    <row r="20" customFormat="false" ht="29.25" hidden="false" customHeight="true" outlineLevel="0" collapsed="false">
      <c r="A20" s="4" t="s">
        <v>304</v>
      </c>
      <c r="B20" s="8" t="s">
        <v>242</v>
      </c>
      <c r="C20" s="8" t="s">
        <v>305</v>
      </c>
      <c r="D20" s="8" t="s">
        <v>306</v>
      </c>
      <c r="E20" s="8" t="s">
        <v>307</v>
      </c>
      <c r="F20" s="8" t="s">
        <v>308</v>
      </c>
    </row>
    <row r="21" customFormat="false" ht="42" hidden="false" customHeight="true" outlineLevel="0" collapsed="false">
      <c r="A21" s="4" t="s">
        <v>309</v>
      </c>
      <c r="B21" s="8" t="s">
        <v>242</v>
      </c>
      <c r="C21" s="8" t="s">
        <v>310</v>
      </c>
      <c r="D21" s="8" t="s">
        <v>311</v>
      </c>
      <c r="E21" s="8" t="s">
        <v>307</v>
      </c>
      <c r="F21" s="8" t="s">
        <v>308</v>
      </c>
    </row>
    <row r="22" customFormat="false" ht="29.25" hidden="false" customHeight="true" outlineLevel="0" collapsed="false">
      <c r="A22" s="4" t="s">
        <v>312</v>
      </c>
      <c r="B22" s="8" t="s">
        <v>248</v>
      </c>
      <c r="C22" s="8" t="s">
        <v>305</v>
      </c>
      <c r="D22" s="8" t="s">
        <v>313</v>
      </c>
      <c r="E22" s="8" t="s">
        <v>314</v>
      </c>
      <c r="F22" s="8" t="s">
        <v>315</v>
      </c>
    </row>
    <row r="23" customFormat="false" ht="29.25" hidden="false" customHeight="true" outlineLevel="0" collapsed="false">
      <c r="A23" s="4" t="s">
        <v>316</v>
      </c>
      <c r="B23" s="8" t="s">
        <v>242</v>
      </c>
      <c r="C23" s="8" t="s">
        <v>317</v>
      </c>
      <c r="D23" s="8" t="s">
        <v>318</v>
      </c>
      <c r="E23" s="8" t="s">
        <v>307</v>
      </c>
      <c r="F23" s="8" t="s">
        <v>319</v>
      </c>
    </row>
    <row r="25" customFormat="false" ht="15" hidden="false" customHeight="false" outlineLevel="0" collapsed="false">
      <c r="A25" s="3" t="s">
        <v>320</v>
      </c>
    </row>
    <row r="26" customFormat="false" ht="15" hidden="false" customHeight="false" outlineLevel="0" collapsed="false">
      <c r="A26" s="6" t="s">
        <v>65</v>
      </c>
      <c r="B26" s="6" t="s">
        <v>321</v>
      </c>
      <c r="C26" s="6" t="s">
        <v>322</v>
      </c>
      <c r="D26" s="6" t="s">
        <v>323</v>
      </c>
      <c r="E26" s="6" t="s">
        <v>324</v>
      </c>
      <c r="F26" s="6" t="s">
        <v>303</v>
      </c>
    </row>
    <row r="27" customFormat="false" ht="16.5" hidden="false" customHeight="true" outlineLevel="0" collapsed="false">
      <c r="A27" s="4" t="s">
        <v>325</v>
      </c>
      <c r="B27" s="8" t="s">
        <v>326</v>
      </c>
      <c r="C27" s="8"/>
      <c r="D27" s="8" t="s">
        <v>327</v>
      </c>
      <c r="E27" s="8" t="s">
        <v>328</v>
      </c>
      <c r="F27" s="8"/>
    </row>
    <row r="28" customFormat="false" ht="16.5" hidden="false" customHeight="true" outlineLevel="0" collapsed="false">
      <c r="A28" s="4" t="s">
        <v>329</v>
      </c>
      <c r="B28" s="8" t="s">
        <v>330</v>
      </c>
      <c r="C28" s="8"/>
      <c r="D28" s="8" t="s">
        <v>327</v>
      </c>
      <c r="E28" s="8"/>
      <c r="F28" s="8" t="s">
        <v>331</v>
      </c>
    </row>
    <row r="29" customFormat="false" ht="16.5" hidden="false" customHeight="true" outlineLevel="0" collapsed="false">
      <c r="A29" s="4" t="s">
        <v>332</v>
      </c>
      <c r="B29" s="8" t="s">
        <v>333</v>
      </c>
      <c r="C29" s="8" t="s">
        <v>330</v>
      </c>
      <c r="D29" s="8" t="s">
        <v>327</v>
      </c>
      <c r="E29" s="8" t="s">
        <v>334</v>
      </c>
      <c r="F29" s="8" t="s">
        <v>335</v>
      </c>
    </row>
    <row r="30" customFormat="false" ht="16.5" hidden="false" customHeight="true" outlineLevel="0" collapsed="false">
      <c r="A30" s="4" t="s">
        <v>336</v>
      </c>
      <c r="B30" s="8" t="s">
        <v>337</v>
      </c>
      <c r="C30" s="8" t="s">
        <v>330</v>
      </c>
      <c r="D30" s="8" t="s">
        <v>327</v>
      </c>
      <c r="E30" s="8" t="s">
        <v>338</v>
      </c>
      <c r="F30" s="8" t="s">
        <v>335</v>
      </c>
    </row>
    <row r="31" customFormat="false" ht="16.5" hidden="false" customHeight="true" outlineLevel="0" collapsed="false">
      <c r="A31" s="4" t="s">
        <v>339</v>
      </c>
      <c r="B31" s="8" t="s">
        <v>340</v>
      </c>
      <c r="C31" s="8"/>
      <c r="D31" s="8" t="s">
        <v>327</v>
      </c>
      <c r="E31" s="8" t="s">
        <v>341</v>
      </c>
      <c r="F31" s="8"/>
    </row>
    <row r="33" customFormat="false" ht="15" hidden="false" customHeight="false" outlineLevel="0" collapsed="false">
      <c r="A33" s="3" t="s">
        <v>324</v>
      </c>
    </row>
    <row r="34" customFormat="false" ht="15" hidden="false" customHeight="false" outlineLevel="0" collapsed="false">
      <c r="A34" s="6" t="s">
        <v>65</v>
      </c>
      <c r="B34" s="6" t="s">
        <v>254</v>
      </c>
      <c r="C34" s="6" t="s">
        <v>342</v>
      </c>
      <c r="D34" s="6" t="s">
        <v>343</v>
      </c>
      <c r="E34" s="6" t="s">
        <v>344</v>
      </c>
      <c r="F34" s="6" t="s">
        <v>345</v>
      </c>
    </row>
    <row r="35" customFormat="false" ht="54.75" hidden="false" customHeight="true" outlineLevel="0" collapsed="false">
      <c r="A35" s="4" t="s">
        <v>328</v>
      </c>
      <c r="B35" s="8" t="s">
        <v>253</v>
      </c>
      <c r="C35" s="8" t="s">
        <v>346</v>
      </c>
      <c r="D35" s="8" t="s">
        <v>347</v>
      </c>
      <c r="E35" s="8" t="s">
        <v>348</v>
      </c>
      <c r="F35" s="8" t="s">
        <v>349</v>
      </c>
    </row>
    <row r="36" customFormat="false" ht="29.25" hidden="false" customHeight="true" outlineLevel="0" collapsed="false">
      <c r="A36" s="4" t="s">
        <v>338</v>
      </c>
      <c r="B36" s="8" t="s">
        <v>253</v>
      </c>
      <c r="C36" s="8" t="s">
        <v>350</v>
      </c>
      <c r="D36" s="8" t="s">
        <v>351</v>
      </c>
      <c r="E36" s="8" t="s">
        <v>352</v>
      </c>
      <c r="F36" s="8" t="s">
        <v>353</v>
      </c>
    </row>
    <row r="37" customFormat="false" ht="29.25" hidden="false" customHeight="true" outlineLevel="0" collapsed="false">
      <c r="A37" s="4" t="s">
        <v>334</v>
      </c>
      <c r="B37" s="8" t="s">
        <v>253</v>
      </c>
      <c r="C37" s="8" t="s">
        <v>354</v>
      </c>
      <c r="D37" s="8" t="s">
        <v>355</v>
      </c>
      <c r="E37" s="8" t="s">
        <v>356</v>
      </c>
      <c r="F37" s="8" t="s">
        <v>357</v>
      </c>
    </row>
    <row r="38" customFormat="false" ht="16.5" hidden="false" customHeight="true" outlineLevel="0" collapsed="false">
      <c r="A38" s="4" t="s">
        <v>341</v>
      </c>
      <c r="B38" s="8" t="s">
        <v>253</v>
      </c>
      <c r="C38" s="8" t="s">
        <v>358</v>
      </c>
      <c r="D38" s="8" t="s">
        <v>359</v>
      </c>
      <c r="E38" s="8" t="s">
        <v>360</v>
      </c>
      <c r="F38" s="8" t="s">
        <v>361</v>
      </c>
    </row>
    <row r="39" customFormat="false" ht="16.5" hidden="false" customHeight="true" outlineLevel="0" collapsed="false">
      <c r="A39" s="4" t="s">
        <v>362</v>
      </c>
      <c r="B39" s="8" t="s">
        <v>259</v>
      </c>
      <c r="C39" s="8" t="s">
        <v>363</v>
      </c>
      <c r="D39" s="8" t="s">
        <v>364</v>
      </c>
      <c r="E39" s="8" t="s">
        <v>365</v>
      </c>
      <c r="F39" s="8" t="s">
        <v>366</v>
      </c>
    </row>
    <row r="40" customFormat="false" ht="16.5" hidden="false" customHeight="true" outlineLevel="0" collapsed="false">
      <c r="A40" s="4" t="s">
        <v>367</v>
      </c>
      <c r="B40" s="8" t="s">
        <v>259</v>
      </c>
      <c r="C40" s="8" t="s">
        <v>368</v>
      </c>
      <c r="D40" s="8" t="s">
        <v>369</v>
      </c>
      <c r="E40" s="8" t="s">
        <v>370</v>
      </c>
      <c r="F40" s="8" t="s">
        <v>371</v>
      </c>
    </row>
    <row r="41" customFormat="false" ht="16.5" hidden="false" customHeight="true" outlineLevel="0" collapsed="false">
      <c r="A41" s="4" t="s">
        <v>372</v>
      </c>
      <c r="B41" s="8" t="s">
        <v>259</v>
      </c>
      <c r="C41" s="8" t="s">
        <v>373</v>
      </c>
      <c r="D41" s="8" t="s">
        <v>374</v>
      </c>
      <c r="E41" s="8" t="s">
        <v>375</v>
      </c>
      <c r="F41" s="8" t="s">
        <v>376</v>
      </c>
    </row>
    <row r="43" customFormat="false" ht="15" hidden="false" customHeight="false" outlineLevel="0" collapsed="false">
      <c r="A43" s="3" t="s">
        <v>377</v>
      </c>
    </row>
    <row r="44" customFormat="false" ht="15" hidden="false" customHeight="false" outlineLevel="0" collapsed="false">
      <c r="A44" s="6" t="s">
        <v>378</v>
      </c>
      <c r="B44" s="6" t="s">
        <v>379</v>
      </c>
      <c r="C44" s="6" t="s">
        <v>380</v>
      </c>
      <c r="D44" s="6" t="s">
        <v>381</v>
      </c>
      <c r="E44" s="6" t="s">
        <v>382</v>
      </c>
      <c r="F44" s="6" t="s">
        <v>383</v>
      </c>
    </row>
    <row r="45" customFormat="false" ht="29.25" hidden="false" customHeight="true" outlineLevel="0" collapsed="false">
      <c r="A45" s="4" t="s">
        <v>384</v>
      </c>
      <c r="B45" s="8" t="s">
        <v>385</v>
      </c>
      <c r="C45" s="8" t="s">
        <v>386</v>
      </c>
      <c r="D45" s="8" t="s">
        <v>387</v>
      </c>
      <c r="E45" s="8" t="s">
        <v>388</v>
      </c>
      <c r="F45" s="8" t="s">
        <v>389</v>
      </c>
    </row>
    <row r="46" customFormat="false" ht="29.25" hidden="false" customHeight="true" outlineLevel="0" collapsed="false">
      <c r="A46" s="4" t="s">
        <v>390</v>
      </c>
      <c r="B46" s="8" t="s">
        <v>385</v>
      </c>
      <c r="C46" s="8" t="s">
        <v>391</v>
      </c>
      <c r="D46" s="8" t="s">
        <v>392</v>
      </c>
      <c r="E46" s="8" t="s">
        <v>393</v>
      </c>
      <c r="F46" s="8" t="s">
        <v>389</v>
      </c>
    </row>
    <row r="47" customFormat="false" ht="16.5" hidden="false" customHeight="true" outlineLevel="0" collapsed="false">
      <c r="A47" s="4" t="s">
        <v>394</v>
      </c>
      <c r="B47" s="8" t="s">
        <v>395</v>
      </c>
      <c r="C47" s="8" t="s">
        <v>396</v>
      </c>
      <c r="D47" s="8" t="s">
        <v>397</v>
      </c>
      <c r="E47" s="8" t="s">
        <v>398</v>
      </c>
      <c r="F47" s="8" t="s">
        <v>399</v>
      </c>
    </row>
    <row r="48" customFormat="false" ht="16.5" hidden="false" customHeight="true" outlineLevel="0" collapsed="false">
      <c r="A48" s="4" t="s">
        <v>400</v>
      </c>
      <c r="B48" s="8" t="s">
        <v>385</v>
      </c>
      <c r="C48" s="8" t="s">
        <v>401</v>
      </c>
      <c r="D48" s="8" t="s">
        <v>402</v>
      </c>
      <c r="E48" s="8" t="s">
        <v>403</v>
      </c>
      <c r="F48" s="8" t="s">
        <v>389</v>
      </c>
    </row>
    <row r="49" customFormat="false" ht="16.5" hidden="false" customHeight="true" outlineLevel="0" collapsed="false">
      <c r="A49" s="4" t="s">
        <v>404</v>
      </c>
      <c r="B49" s="8" t="s">
        <v>385</v>
      </c>
      <c r="C49" s="8" t="s">
        <v>401</v>
      </c>
      <c r="D49" s="8" t="s">
        <v>402</v>
      </c>
      <c r="E49" s="8" t="s">
        <v>405</v>
      </c>
      <c r="F49" s="8" t="s">
        <v>389</v>
      </c>
    </row>
    <row r="50" customFormat="false" ht="29.25" hidden="false" customHeight="true" outlineLevel="0" collapsed="false">
      <c r="A50" s="4" t="s">
        <v>406</v>
      </c>
      <c r="B50" s="8" t="s">
        <v>385</v>
      </c>
      <c r="C50" s="8" t="s">
        <v>407</v>
      </c>
      <c r="D50" s="8" t="s">
        <v>408</v>
      </c>
      <c r="E50" s="8" t="s">
        <v>409</v>
      </c>
      <c r="F50" s="8" t="s">
        <v>389</v>
      </c>
    </row>
    <row r="51" customFormat="false" ht="16.5" hidden="false" customHeight="true" outlineLevel="0" collapsed="false">
      <c r="A51" s="4" t="s">
        <v>410</v>
      </c>
      <c r="B51" s="8" t="s">
        <v>411</v>
      </c>
      <c r="C51" s="8" t="s">
        <v>396</v>
      </c>
      <c r="D51" s="8" t="s">
        <v>412</v>
      </c>
      <c r="E51" s="8" t="s">
        <v>413</v>
      </c>
      <c r="F51" s="8" t="s">
        <v>389</v>
      </c>
    </row>
    <row r="52" customFormat="false" ht="16.5" hidden="false" customHeight="true" outlineLevel="0" collapsed="false">
      <c r="A52" s="4" t="s">
        <v>414</v>
      </c>
      <c r="B52" s="8" t="s">
        <v>411</v>
      </c>
      <c r="C52" s="8" t="s">
        <v>415</v>
      </c>
      <c r="D52" s="8" t="s">
        <v>416</v>
      </c>
      <c r="E52" s="8" t="s">
        <v>413</v>
      </c>
      <c r="F52" s="8" t="s">
        <v>389</v>
      </c>
    </row>
    <row r="54" customFormat="false" ht="15" hidden="false" customHeight="false" outlineLevel="0" collapsed="false">
      <c r="A54" s="3" t="s">
        <v>417</v>
      </c>
    </row>
    <row r="55" customFormat="false" ht="15" hidden="false" customHeight="false" outlineLevel="0" collapsed="false">
      <c r="A55" s="6" t="s">
        <v>418</v>
      </c>
      <c r="B55" s="6" t="s">
        <v>419</v>
      </c>
      <c r="C55" s="6" t="s">
        <v>420</v>
      </c>
      <c r="D55" s="6" t="s">
        <v>421</v>
      </c>
      <c r="E55" s="6"/>
      <c r="F55" s="6" t="s">
        <v>303</v>
      </c>
    </row>
    <row r="56" customFormat="false" ht="16.5" hidden="false" customHeight="true" outlineLevel="0" collapsed="false">
      <c r="A56" s="4" t="s">
        <v>422</v>
      </c>
      <c r="B56" s="8" t="s">
        <v>423</v>
      </c>
      <c r="C56" s="8" t="s">
        <v>424</v>
      </c>
      <c r="D56" s="8" t="s">
        <v>425</v>
      </c>
      <c r="E56" s="8"/>
      <c r="F56" s="8" t="s">
        <v>426</v>
      </c>
    </row>
    <row r="57" customFormat="false" ht="29.25" hidden="false" customHeight="true" outlineLevel="0" collapsed="false">
      <c r="A57" s="4" t="s">
        <v>427</v>
      </c>
      <c r="B57" s="8" t="s">
        <v>428</v>
      </c>
      <c r="C57" s="8" t="s">
        <v>429</v>
      </c>
      <c r="D57" s="8" t="s">
        <v>430</v>
      </c>
      <c r="E57" s="8"/>
      <c r="F57" s="8" t="s">
        <v>431</v>
      </c>
    </row>
    <row r="58" customFormat="false" ht="29.25" hidden="false" customHeight="true" outlineLevel="0" collapsed="false">
      <c r="A58" s="4" t="s">
        <v>432</v>
      </c>
      <c r="B58" s="8" t="s">
        <v>428</v>
      </c>
      <c r="C58" s="8" t="s">
        <v>429</v>
      </c>
      <c r="D58" s="8" t="s">
        <v>433</v>
      </c>
      <c r="E58" s="8"/>
      <c r="F58" s="8" t="s">
        <v>434</v>
      </c>
    </row>
    <row r="59" customFormat="false" ht="29.25" hidden="false" customHeight="true" outlineLevel="0" collapsed="false">
      <c r="A59" s="4" t="s">
        <v>435</v>
      </c>
      <c r="B59" s="8" t="s">
        <v>436</v>
      </c>
      <c r="C59" s="8" t="s">
        <v>437</v>
      </c>
      <c r="D59" s="8"/>
      <c r="E59" s="8"/>
      <c r="F59" s="8" t="s">
        <v>438</v>
      </c>
    </row>
    <row r="61" customFormat="false" ht="15" hidden="false" customHeight="false" outlineLevel="0" collapsed="false">
      <c r="A61" s="3" t="s">
        <v>439</v>
      </c>
    </row>
    <row r="62" customFormat="false" ht="15" hidden="false" customHeight="false" outlineLevel="0" collapsed="false">
      <c r="A62" s="6" t="s">
        <v>440</v>
      </c>
      <c r="B62" s="6" t="s">
        <v>441</v>
      </c>
      <c r="C62" s="6" t="s">
        <v>442</v>
      </c>
      <c r="D62" s="6" t="s">
        <v>443</v>
      </c>
      <c r="E62" s="6"/>
      <c r="F62" s="6"/>
    </row>
    <row r="63" customFormat="false" ht="29.25" hidden="false" customHeight="true" outlineLevel="0" collapsed="false">
      <c r="A63" s="4" t="s">
        <v>444</v>
      </c>
      <c r="B63" s="8" t="s">
        <v>445</v>
      </c>
      <c r="C63" s="8" t="s">
        <v>446</v>
      </c>
      <c r="D63" s="8" t="s">
        <v>447</v>
      </c>
      <c r="E63" s="8"/>
      <c r="F63" s="8"/>
    </row>
    <row r="64" customFormat="false" ht="16.5" hidden="false" customHeight="true" outlineLevel="0" collapsed="false">
      <c r="A64" s="4" t="s">
        <v>448</v>
      </c>
      <c r="B64" s="8" t="s">
        <v>449</v>
      </c>
      <c r="C64" s="8" t="s">
        <v>364</v>
      </c>
      <c r="D64" s="8"/>
      <c r="E64" s="8"/>
      <c r="F64" s="8"/>
    </row>
    <row r="65" customFormat="false" ht="16.5" hidden="false" customHeight="true" outlineLevel="0" collapsed="false">
      <c r="A65" s="4" t="s">
        <v>450</v>
      </c>
      <c r="B65" s="8" t="s">
        <v>451</v>
      </c>
      <c r="C65" s="8" t="s">
        <v>452</v>
      </c>
      <c r="D65" s="8" t="s">
        <v>453</v>
      </c>
      <c r="E65" s="8"/>
      <c r="F65" s="8"/>
    </row>
    <row r="66" customFormat="false" ht="29.25" hidden="false" customHeight="true" outlineLevel="0" collapsed="false">
      <c r="A66" s="4" t="s">
        <v>454</v>
      </c>
      <c r="B66" s="8" t="s">
        <v>455</v>
      </c>
      <c r="C66" s="8" t="s">
        <v>456</v>
      </c>
      <c r="D66" s="8" t="s">
        <v>457</v>
      </c>
      <c r="E66" s="8"/>
      <c r="F66" s="8"/>
    </row>
    <row r="67" customFormat="false" ht="29.25" hidden="false" customHeight="true" outlineLevel="0" collapsed="false">
      <c r="A67" s="4" t="s">
        <v>375</v>
      </c>
      <c r="B67" s="8" t="s">
        <v>458</v>
      </c>
      <c r="C67" s="8" t="s">
        <v>428</v>
      </c>
      <c r="D67" s="8"/>
      <c r="E67" s="8"/>
      <c r="F67" s="8"/>
    </row>
    <row r="68" customFormat="false" ht="16.5" hidden="false" customHeight="true" outlineLevel="0" collapsed="false">
      <c r="A68" s="4" t="s">
        <v>459</v>
      </c>
      <c r="B68" s="8" t="s">
        <v>460</v>
      </c>
      <c r="C68" s="8" t="s">
        <v>461</v>
      </c>
      <c r="D68" s="8" t="s">
        <v>462</v>
      </c>
      <c r="E68" s="8"/>
      <c r="F68" s="8"/>
    </row>
    <row r="69" customFormat="false" ht="16.5" hidden="false" customHeight="true" outlineLevel="0" collapsed="false">
      <c r="A69" s="4" t="s">
        <v>463</v>
      </c>
      <c r="B69" s="8" t="s">
        <v>464</v>
      </c>
      <c r="C69" s="8" t="s">
        <v>465</v>
      </c>
      <c r="D69" s="8" t="s">
        <v>466</v>
      </c>
      <c r="E69" s="8"/>
      <c r="F69" s="8"/>
    </row>
    <row r="70" customFormat="false" ht="16.5" hidden="false" customHeight="true" outlineLevel="0" collapsed="false">
      <c r="A70" s="4" t="s">
        <v>467</v>
      </c>
      <c r="B70" s="8" t="s">
        <v>468</v>
      </c>
      <c r="C70" s="8" t="s">
        <v>461</v>
      </c>
      <c r="D70" s="8" t="s">
        <v>469</v>
      </c>
      <c r="E70" s="8"/>
      <c r="F70" s="8"/>
    </row>
    <row r="71" customFormat="false" ht="16.5" hidden="false" customHeight="true" outlineLevel="0" collapsed="false">
      <c r="A71" s="4" t="s">
        <v>470</v>
      </c>
      <c r="B71" s="8" t="s">
        <v>471</v>
      </c>
      <c r="C71" s="8" t="s">
        <v>472</v>
      </c>
      <c r="D71" s="8" t="s">
        <v>473</v>
      </c>
      <c r="E71" s="8"/>
      <c r="F71" s="8"/>
    </row>
    <row r="72" customFormat="false" ht="29.25" hidden="false" customHeight="true" outlineLevel="0" collapsed="false">
      <c r="A72" s="4" t="s">
        <v>474</v>
      </c>
      <c r="B72" s="8" t="s">
        <v>475</v>
      </c>
      <c r="C72" s="8" t="s">
        <v>476</v>
      </c>
      <c r="D72" s="8" t="s">
        <v>477</v>
      </c>
      <c r="E72" s="8"/>
      <c r="F72" s="8"/>
    </row>
    <row r="73" customFormat="false" ht="29.25" hidden="false" customHeight="true" outlineLevel="0" collapsed="false">
      <c r="A73" s="4" t="s">
        <v>478</v>
      </c>
      <c r="B73" s="8" t="s">
        <v>479</v>
      </c>
      <c r="C73" s="8" t="s">
        <v>480</v>
      </c>
      <c r="D73" s="8" t="s">
        <v>481</v>
      </c>
      <c r="E73" s="8"/>
      <c r="F73" s="8"/>
    </row>
    <row r="75" customFormat="false" ht="15" hidden="false" customHeight="false" outlineLevel="0" collapsed="false">
      <c r="A75" s="3" t="s">
        <v>482</v>
      </c>
    </row>
    <row r="76" customFormat="false" ht="15" hidden="false" customHeight="false" outlineLevel="0" collapsed="false">
      <c r="A76" s="6" t="s">
        <v>441</v>
      </c>
      <c r="B76" s="6" t="s">
        <v>483</v>
      </c>
      <c r="C76" s="6"/>
      <c r="D76" s="6"/>
      <c r="E76" s="6"/>
      <c r="F76" s="6" t="s">
        <v>303</v>
      </c>
    </row>
    <row r="77" customFormat="false" ht="29.25" hidden="false" customHeight="true" outlineLevel="0" collapsed="false">
      <c r="A77" s="4" t="s">
        <v>484</v>
      </c>
      <c r="B77" s="8" t="s">
        <v>485</v>
      </c>
      <c r="C77" s="8"/>
      <c r="D77" s="8"/>
      <c r="E77" s="8"/>
      <c r="F77" s="8" t="s">
        <v>486</v>
      </c>
    </row>
    <row r="78" customFormat="false" ht="42" hidden="false" customHeight="true" outlineLevel="0" collapsed="false">
      <c r="A78" s="4" t="s">
        <v>166</v>
      </c>
      <c r="B78" s="8" t="s">
        <v>487</v>
      </c>
      <c r="C78" s="8"/>
      <c r="D78" s="8"/>
      <c r="E78" s="8"/>
      <c r="F78" s="8" t="s">
        <v>165</v>
      </c>
    </row>
    <row r="79" customFormat="false" ht="42" hidden="false" customHeight="true" outlineLevel="0" collapsed="false">
      <c r="A79" s="4" t="s">
        <v>488</v>
      </c>
      <c r="B79" s="8" t="s">
        <v>489</v>
      </c>
      <c r="C79" s="8"/>
      <c r="D79" s="8"/>
      <c r="E79" s="8"/>
      <c r="F79" s="8" t="s">
        <v>490</v>
      </c>
    </row>
    <row r="80" customFormat="false" ht="29.25" hidden="false" customHeight="true" outlineLevel="0" collapsed="false">
      <c r="A80" s="4" t="s">
        <v>491</v>
      </c>
      <c r="B80" s="8" t="s">
        <v>492</v>
      </c>
      <c r="C80" s="8"/>
      <c r="D80" s="8"/>
      <c r="E80" s="8"/>
      <c r="F80" s="8" t="s">
        <v>493</v>
      </c>
    </row>
    <row r="81" customFormat="false" ht="29.25" hidden="false" customHeight="true" outlineLevel="0" collapsed="false">
      <c r="A81" s="4" t="s">
        <v>494</v>
      </c>
      <c r="B81" s="8" t="s">
        <v>495</v>
      </c>
      <c r="C81" s="8"/>
      <c r="D81" s="8"/>
      <c r="E81" s="8"/>
      <c r="F81" s="8"/>
    </row>
    <row r="82" customFormat="false" ht="42" hidden="false" customHeight="true" outlineLevel="0" collapsed="false">
      <c r="A82" s="4" t="s">
        <v>496</v>
      </c>
      <c r="B82" s="8" t="s">
        <v>497</v>
      </c>
      <c r="C82" s="8"/>
      <c r="D82" s="8"/>
      <c r="E82" s="8"/>
      <c r="F82" s="8" t="s">
        <v>498</v>
      </c>
    </row>
    <row r="83" customFormat="false" ht="42" hidden="false" customHeight="true" outlineLevel="0" collapsed="false">
      <c r="A83" s="4" t="s">
        <v>499</v>
      </c>
      <c r="B83" s="8" t="s">
        <v>500</v>
      </c>
      <c r="C83" s="8"/>
      <c r="D83" s="8"/>
      <c r="E83" s="8"/>
      <c r="F83" s="8" t="s">
        <v>501</v>
      </c>
    </row>
    <row r="85" customFormat="false" ht="15" hidden="false" customHeight="false" outlineLevel="0" collapsed="false">
      <c r="A85" s="3" t="s">
        <v>502</v>
      </c>
    </row>
    <row r="86" customFormat="false" ht="15" hidden="false" customHeight="false" outlineLevel="0" collapsed="false">
      <c r="A86" s="6" t="s">
        <v>65</v>
      </c>
      <c r="B86" s="6" t="s">
        <v>237</v>
      </c>
      <c r="C86" s="6" t="s">
        <v>238</v>
      </c>
      <c r="D86" s="6" t="s">
        <v>239</v>
      </c>
      <c r="E86" s="6" t="s">
        <v>240</v>
      </c>
      <c r="F86" s="6" t="s">
        <v>241</v>
      </c>
    </row>
    <row r="87" customFormat="false" ht="29.25" hidden="false" customHeight="true" outlineLevel="0" collapsed="false">
      <c r="A87" s="4" t="s">
        <v>503</v>
      </c>
      <c r="B87" s="8" t="s">
        <v>504</v>
      </c>
      <c r="C87" s="8" t="s">
        <v>505</v>
      </c>
      <c r="D87" s="8" t="s">
        <v>506</v>
      </c>
      <c r="E87" s="8" t="s">
        <v>507</v>
      </c>
      <c r="F87" s="8" t="s">
        <v>508</v>
      </c>
    </row>
    <row r="88" customFormat="false" ht="29.25" hidden="false" customHeight="true" outlineLevel="0" collapsed="false">
      <c r="A88" s="4" t="s">
        <v>509</v>
      </c>
      <c r="B88" s="8" t="s">
        <v>504</v>
      </c>
      <c r="C88" s="8" t="s">
        <v>510</v>
      </c>
      <c r="D88" s="8" t="s">
        <v>511</v>
      </c>
      <c r="E88" s="8" t="s">
        <v>512</v>
      </c>
      <c r="F88" s="8" t="s">
        <v>513</v>
      </c>
    </row>
    <row r="89" customFormat="false" ht="29.25" hidden="false" customHeight="true" outlineLevel="0" collapsed="false">
      <c r="A89" s="4" t="s">
        <v>514</v>
      </c>
      <c r="B89" s="8" t="s">
        <v>504</v>
      </c>
      <c r="C89" s="8" t="s">
        <v>515</v>
      </c>
      <c r="D89" s="8" t="s">
        <v>516</v>
      </c>
      <c r="E89" s="8" t="s">
        <v>507</v>
      </c>
      <c r="F89" s="8" t="s">
        <v>517</v>
      </c>
    </row>
    <row r="90" customFormat="false" ht="29.25" hidden="false" customHeight="true" outlineLevel="0" collapsed="false">
      <c r="A90" s="4" t="s">
        <v>518</v>
      </c>
      <c r="B90" s="8" t="s">
        <v>504</v>
      </c>
      <c r="C90" s="8" t="s">
        <v>519</v>
      </c>
      <c r="D90" s="8" t="s">
        <v>520</v>
      </c>
      <c r="E90" s="8" t="s">
        <v>507</v>
      </c>
      <c r="F90" s="8" t="s">
        <v>521</v>
      </c>
    </row>
    <row r="92" customFormat="false" ht="15" hidden="false" customHeight="false" outlineLevel="0" collapsed="false">
      <c r="A92" s="3" t="s">
        <v>522</v>
      </c>
    </row>
    <row r="93" customFormat="false" ht="15" hidden="false" customHeight="false" outlineLevel="0" collapsed="false">
      <c r="A93" s="6" t="s">
        <v>65</v>
      </c>
      <c r="B93" s="6" t="s">
        <v>523</v>
      </c>
      <c r="C93" s="6" t="s">
        <v>301</v>
      </c>
      <c r="D93" s="6" t="s">
        <v>524</v>
      </c>
      <c r="E93" s="6" t="s">
        <v>525</v>
      </c>
      <c r="F93" s="6" t="s">
        <v>303</v>
      </c>
    </row>
    <row r="94" customFormat="false" ht="54.75" hidden="false" customHeight="true" outlineLevel="0" collapsed="false">
      <c r="A94" s="4" t="s">
        <v>526</v>
      </c>
      <c r="B94" s="8" t="s">
        <v>527</v>
      </c>
      <c r="C94" s="8" t="s">
        <v>528</v>
      </c>
      <c r="D94" s="8" t="s">
        <v>268</v>
      </c>
      <c r="E94" s="8" t="s">
        <v>529</v>
      </c>
      <c r="F94" s="8" t="s">
        <v>530</v>
      </c>
    </row>
    <row r="95" customFormat="false" ht="42" hidden="false" customHeight="true" outlineLevel="0" collapsed="false">
      <c r="A95" s="4" t="s">
        <v>531</v>
      </c>
      <c r="B95" s="8" t="s">
        <v>532</v>
      </c>
      <c r="C95" s="8" t="s">
        <v>533</v>
      </c>
      <c r="D95" s="8" t="s">
        <v>268</v>
      </c>
      <c r="E95" s="8" t="s">
        <v>534</v>
      </c>
      <c r="F95" s="8" t="s">
        <v>535</v>
      </c>
    </row>
    <row r="96" customFormat="false" ht="29.25" hidden="false" customHeight="true" outlineLevel="0" collapsed="false">
      <c r="A96" s="4" t="s">
        <v>536</v>
      </c>
      <c r="B96" s="8" t="s">
        <v>537</v>
      </c>
      <c r="C96" s="8" t="s">
        <v>538</v>
      </c>
      <c r="D96" s="8" t="s">
        <v>268</v>
      </c>
      <c r="E96" s="8" t="s">
        <v>539</v>
      </c>
      <c r="F96" s="8" t="s">
        <v>540</v>
      </c>
    </row>
    <row r="97" customFormat="false" ht="29.25" hidden="false" customHeight="true" outlineLevel="0" collapsed="false">
      <c r="A97" s="4" t="s">
        <v>541</v>
      </c>
      <c r="B97" s="8" t="s">
        <v>542</v>
      </c>
      <c r="C97" s="8" t="s">
        <v>543</v>
      </c>
      <c r="D97" s="8" t="s">
        <v>274</v>
      </c>
      <c r="E97" s="8" t="s">
        <v>544</v>
      </c>
      <c r="F97" s="8" t="s">
        <v>545</v>
      </c>
    </row>
    <row r="99" customFormat="false" ht="15" hidden="false" customHeight="false" outlineLevel="0" collapsed="false">
      <c r="A99" s="3" t="s">
        <v>546</v>
      </c>
    </row>
    <row r="100" customFormat="false" ht="15" hidden="false" customHeight="false" outlineLevel="0" collapsed="false">
      <c r="A100" s="6" t="s">
        <v>65</v>
      </c>
      <c r="B100" s="6" t="s">
        <v>441</v>
      </c>
      <c r="C100" s="6" t="s">
        <v>483</v>
      </c>
      <c r="D100" s="6" t="s">
        <v>547</v>
      </c>
      <c r="E100" s="6" t="s">
        <v>548</v>
      </c>
      <c r="F100" s="6" t="s">
        <v>303</v>
      </c>
    </row>
    <row r="101" customFormat="false" ht="42" hidden="false" customHeight="true" outlineLevel="0" collapsed="false">
      <c r="A101" s="4" t="s">
        <v>549</v>
      </c>
      <c r="B101" s="8" t="s">
        <v>550</v>
      </c>
      <c r="C101" s="8" t="s">
        <v>551</v>
      </c>
      <c r="D101" s="8" t="s">
        <v>552</v>
      </c>
      <c r="E101" s="8" t="s">
        <v>553</v>
      </c>
      <c r="F101" s="8" t="s">
        <v>554</v>
      </c>
    </row>
    <row r="102" customFormat="false" ht="16.5" hidden="false" customHeight="true" outlineLevel="0" collapsed="false">
      <c r="A102" s="4" t="s">
        <v>555</v>
      </c>
      <c r="B102" s="8" t="s">
        <v>556</v>
      </c>
      <c r="C102" s="8" t="s">
        <v>557</v>
      </c>
      <c r="D102" s="8" t="s">
        <v>558</v>
      </c>
      <c r="E102" s="8" t="s">
        <v>559</v>
      </c>
      <c r="F102" s="8" t="s">
        <v>560</v>
      </c>
    </row>
    <row r="103" customFormat="false" ht="29.25" hidden="false" customHeight="true" outlineLevel="0" collapsed="false">
      <c r="A103" s="4" t="s">
        <v>561</v>
      </c>
      <c r="B103" s="8" t="s">
        <v>562</v>
      </c>
      <c r="C103" s="8" t="s">
        <v>563</v>
      </c>
      <c r="D103" s="8" t="s">
        <v>564</v>
      </c>
      <c r="E103" s="8"/>
      <c r="F103" s="8" t="s">
        <v>189</v>
      </c>
    </row>
    <row r="104" customFormat="false" ht="16.5" hidden="false" customHeight="true" outlineLevel="0" collapsed="false">
      <c r="A104" s="4" t="s">
        <v>565</v>
      </c>
      <c r="B104" s="8" t="s">
        <v>566</v>
      </c>
      <c r="C104" s="8" t="s">
        <v>567</v>
      </c>
      <c r="D104" s="8" t="s">
        <v>568</v>
      </c>
      <c r="E104" s="8"/>
      <c r="F104" s="8" t="s">
        <v>186</v>
      </c>
    </row>
    <row r="105" customFormat="false" ht="29.25" hidden="false" customHeight="true" outlineLevel="0" collapsed="false">
      <c r="A105" s="4" t="s">
        <v>569</v>
      </c>
      <c r="B105" s="8" t="s">
        <v>570</v>
      </c>
      <c r="C105" s="8" t="s">
        <v>571</v>
      </c>
      <c r="D105" s="8" t="s">
        <v>572</v>
      </c>
      <c r="E105" s="8"/>
      <c r="F105" s="8" t="s">
        <v>183</v>
      </c>
    </row>
    <row r="106" customFormat="false" ht="29.25" hidden="false" customHeight="true" outlineLevel="0" collapsed="false">
      <c r="A106" s="4" t="s">
        <v>573</v>
      </c>
      <c r="B106" s="8" t="s">
        <v>574</v>
      </c>
      <c r="C106" s="8" t="s">
        <v>575</v>
      </c>
      <c r="D106" s="8" t="s">
        <v>576</v>
      </c>
      <c r="E106" s="8"/>
      <c r="F106" s="8"/>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24"/>
    <col collapsed="false" customWidth="true" hidden="false" outlineLevel="0" max="4" min="4" style="0" width="46"/>
    <col collapsed="false" customWidth="true" hidden="false" outlineLevel="0" max="5" min="5" style="0" width="20"/>
  </cols>
  <sheetData>
    <row r="1" customFormat="false" ht="17.35" hidden="false" customHeight="false" outlineLevel="0" collapsed="false">
      <c r="A1" s="1" t="s">
        <v>577</v>
      </c>
    </row>
    <row r="2" customFormat="false" ht="30" hidden="false" customHeight="true" outlineLevel="0" collapsed="false">
      <c r="A2" s="11" t="s">
        <v>578</v>
      </c>
      <c r="B2" s="11"/>
      <c r="C2" s="11"/>
      <c r="D2" s="11"/>
      <c r="E2" s="11"/>
    </row>
    <row r="4" customFormat="false" ht="15" hidden="false" customHeight="false" outlineLevel="0" collapsed="false">
      <c r="A4" s="6" t="s">
        <v>579</v>
      </c>
      <c r="B4" s="6" t="s">
        <v>380</v>
      </c>
      <c r="C4" s="6" t="s">
        <v>580</v>
      </c>
      <c r="D4" s="6" t="s">
        <v>581</v>
      </c>
      <c r="E4" s="6" t="s">
        <v>582</v>
      </c>
    </row>
    <row r="5" customFormat="false" ht="15" hidden="false" customHeight="false" outlineLevel="0" collapsed="false">
      <c r="A5" s="7" t="s">
        <v>583</v>
      </c>
      <c r="B5" s="8" t="s">
        <v>584</v>
      </c>
      <c r="C5" s="8" t="s">
        <v>585</v>
      </c>
      <c r="D5" s="8" t="s">
        <v>586</v>
      </c>
      <c r="E5" s="8" t="s">
        <v>587</v>
      </c>
    </row>
    <row r="6" customFormat="false" ht="15" hidden="false" customHeight="false" outlineLevel="0" collapsed="false">
      <c r="A6" s="7" t="s">
        <v>588</v>
      </c>
      <c r="B6" s="8" t="s">
        <v>589</v>
      </c>
      <c r="C6" s="8" t="s">
        <v>590</v>
      </c>
      <c r="D6" s="8" t="s">
        <v>586</v>
      </c>
      <c r="E6" s="8" t="s">
        <v>587</v>
      </c>
    </row>
    <row r="7" customFormat="false" ht="15" hidden="false" customHeight="false" outlineLevel="0" collapsed="false">
      <c r="A7" s="7" t="s">
        <v>591</v>
      </c>
      <c r="B7" s="8" t="s">
        <v>589</v>
      </c>
      <c r="C7" s="8" t="s">
        <v>592</v>
      </c>
      <c r="D7" s="8" t="s">
        <v>593</v>
      </c>
      <c r="E7" s="8" t="s">
        <v>587</v>
      </c>
    </row>
    <row r="8" customFormat="false" ht="15" hidden="false" customHeight="false" outlineLevel="0" collapsed="false">
      <c r="A8" s="7" t="s">
        <v>594</v>
      </c>
      <c r="B8" s="8" t="s">
        <v>584</v>
      </c>
      <c r="C8" s="8" t="s">
        <v>595</v>
      </c>
      <c r="D8" s="8" t="s">
        <v>596</v>
      </c>
      <c r="E8" s="8" t="s">
        <v>587</v>
      </c>
    </row>
    <row r="9" customFormat="false" ht="15" hidden="false" customHeight="false" outlineLevel="0" collapsed="false">
      <c r="A9" s="7" t="s">
        <v>597</v>
      </c>
      <c r="B9" s="8" t="s">
        <v>584</v>
      </c>
      <c r="C9" s="8" t="s">
        <v>598</v>
      </c>
      <c r="D9" s="8" t="s">
        <v>599</v>
      </c>
      <c r="E9" s="8" t="s">
        <v>587</v>
      </c>
    </row>
    <row r="10" customFormat="false" ht="15" hidden="false" customHeight="false" outlineLevel="0" collapsed="false">
      <c r="A10" s="7" t="s">
        <v>600</v>
      </c>
      <c r="B10" s="8" t="s">
        <v>601</v>
      </c>
      <c r="C10" s="8" t="s">
        <v>602</v>
      </c>
      <c r="D10" s="8" t="s">
        <v>603</v>
      </c>
      <c r="E10" s="8" t="s">
        <v>604</v>
      </c>
    </row>
    <row r="11" customFormat="false" ht="15" hidden="false" customHeight="false" outlineLevel="0" collapsed="false">
      <c r="A11" s="7" t="s">
        <v>605</v>
      </c>
      <c r="B11" s="8" t="s">
        <v>584</v>
      </c>
      <c r="C11" s="8" t="s">
        <v>606</v>
      </c>
      <c r="D11" s="8" t="s">
        <v>607</v>
      </c>
      <c r="E11" s="8" t="s">
        <v>587</v>
      </c>
    </row>
    <row r="12" customFormat="false" ht="15" hidden="false" customHeight="false" outlineLevel="0" collapsed="false">
      <c r="A12" s="7" t="s">
        <v>608</v>
      </c>
      <c r="B12" s="8" t="s">
        <v>584</v>
      </c>
      <c r="C12" s="8" t="s">
        <v>609</v>
      </c>
      <c r="D12" s="8" t="s">
        <v>610</v>
      </c>
      <c r="E12" s="8" t="s">
        <v>587</v>
      </c>
    </row>
    <row r="13" customFormat="false" ht="15" hidden="false" customHeight="false" outlineLevel="0" collapsed="false">
      <c r="A13" s="7" t="s">
        <v>611</v>
      </c>
      <c r="B13" s="8" t="s">
        <v>584</v>
      </c>
      <c r="C13" s="8" t="s">
        <v>612</v>
      </c>
      <c r="D13" s="8" t="s">
        <v>613</v>
      </c>
      <c r="E13" s="8" t="s">
        <v>587</v>
      </c>
    </row>
    <row r="14" customFormat="false" ht="15" hidden="false" customHeight="false" outlineLevel="0" collapsed="false">
      <c r="A14" s="7" t="s">
        <v>614</v>
      </c>
      <c r="B14" s="8" t="s">
        <v>584</v>
      </c>
      <c r="C14" s="8" t="s">
        <v>615</v>
      </c>
      <c r="D14" s="8" t="s">
        <v>616</v>
      </c>
      <c r="E14" s="8" t="s">
        <v>617</v>
      </c>
    </row>
    <row r="15" customFormat="false" ht="15" hidden="false" customHeight="false" outlineLevel="0" collapsed="false">
      <c r="A15" s="7" t="s">
        <v>618</v>
      </c>
      <c r="B15" s="8" t="s">
        <v>619</v>
      </c>
      <c r="C15" s="8" t="s">
        <v>620</v>
      </c>
      <c r="D15" s="8" t="s">
        <v>621</v>
      </c>
      <c r="E15" s="8" t="s">
        <v>617</v>
      </c>
    </row>
    <row r="16" customFormat="false" ht="15" hidden="false" customHeight="false" outlineLevel="0" collapsed="false">
      <c r="A16" s="7" t="s">
        <v>622</v>
      </c>
      <c r="B16" s="8" t="s">
        <v>623</v>
      </c>
      <c r="C16" s="8" t="s">
        <v>624</v>
      </c>
      <c r="D16" s="8" t="s">
        <v>625</v>
      </c>
      <c r="E16" s="8" t="s">
        <v>617</v>
      </c>
    </row>
    <row r="17" customFormat="false" ht="15" hidden="false" customHeight="false" outlineLevel="0" collapsed="false">
      <c r="A17" s="7" t="s">
        <v>626</v>
      </c>
      <c r="B17" s="8" t="s">
        <v>627</v>
      </c>
      <c r="C17" s="8" t="s">
        <v>624</v>
      </c>
      <c r="D17" s="8" t="s">
        <v>628</v>
      </c>
      <c r="E17" s="8" t="s">
        <v>617</v>
      </c>
    </row>
    <row r="18" customFormat="false" ht="15" hidden="false" customHeight="false" outlineLevel="0" collapsed="false">
      <c r="A18" s="7" t="s">
        <v>629</v>
      </c>
      <c r="B18" s="8" t="s">
        <v>584</v>
      </c>
      <c r="C18" s="8" t="s">
        <v>630</v>
      </c>
      <c r="D18" s="8" t="s">
        <v>631</v>
      </c>
      <c r="E18" s="8" t="s">
        <v>587</v>
      </c>
    </row>
    <row r="19" customFormat="false" ht="15" hidden="false" customHeight="false" outlineLevel="0" collapsed="false">
      <c r="A19" s="7" t="s">
        <v>632</v>
      </c>
      <c r="B19" s="8" t="s">
        <v>589</v>
      </c>
      <c r="C19" s="8" t="s">
        <v>624</v>
      </c>
      <c r="D19" s="8" t="s">
        <v>633</v>
      </c>
      <c r="E19" s="8" t="s">
        <v>587</v>
      </c>
    </row>
    <row r="20" customFormat="false" ht="23.85" hidden="false" customHeight="false" outlineLevel="0" collapsed="false">
      <c r="A20" s="7" t="s">
        <v>634</v>
      </c>
      <c r="B20" s="8" t="s">
        <v>635</v>
      </c>
      <c r="C20" s="8" t="s">
        <v>636</v>
      </c>
      <c r="D20" s="8" t="s">
        <v>637</v>
      </c>
      <c r="E20" s="8" t="s">
        <v>587</v>
      </c>
    </row>
    <row r="21" customFormat="false" ht="15" hidden="false" customHeight="false" outlineLevel="0" collapsed="false">
      <c r="A21" s="7" t="s">
        <v>638</v>
      </c>
      <c r="B21" s="8" t="s">
        <v>635</v>
      </c>
      <c r="C21" s="8" t="s">
        <v>639</v>
      </c>
      <c r="D21" s="8" t="s">
        <v>640</v>
      </c>
      <c r="E21" s="8" t="s">
        <v>587</v>
      </c>
    </row>
    <row r="22" customFormat="false" ht="15" hidden="false" customHeight="false" outlineLevel="0" collapsed="false">
      <c r="A22" s="7" t="s">
        <v>641</v>
      </c>
      <c r="B22" s="8" t="s">
        <v>584</v>
      </c>
      <c r="C22" s="8" t="s">
        <v>642</v>
      </c>
      <c r="D22" s="8" t="s">
        <v>643</v>
      </c>
      <c r="E22" s="8" t="s">
        <v>587</v>
      </c>
    </row>
    <row r="23" customFormat="false" ht="46.25" hidden="false" customHeight="false" outlineLevel="0" collapsed="false">
      <c r="A23" s="7" t="s">
        <v>644</v>
      </c>
      <c r="B23" s="8" t="s">
        <v>645</v>
      </c>
      <c r="C23" s="8" t="s">
        <v>646</v>
      </c>
      <c r="D23" s="8" t="s">
        <v>647</v>
      </c>
      <c r="E23" s="8" t="s">
        <v>648</v>
      </c>
    </row>
    <row r="24" customFormat="false" ht="23.85" hidden="false" customHeight="false" outlineLevel="0" collapsed="false">
      <c r="A24" s="7" t="s">
        <v>649</v>
      </c>
      <c r="B24" s="8" t="s">
        <v>589</v>
      </c>
      <c r="C24" s="8" t="s">
        <v>650</v>
      </c>
      <c r="D24" s="8" t="s">
        <v>651</v>
      </c>
      <c r="E24" s="8" t="s">
        <v>587</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idden="false" outlineLevel="0" collapsed="false" ht="108.00" customHeight="true">
      <c r="A2" s="7" t="s">
        <v>665</v>
      </c>
      <c r="B2" s="8" t="s">
        <v>666</v>
      </c>
      <c r="C2" s="8" t="s">
        <v>667</v>
      </c>
      <c r="D2" s="8" t="s">
        <v>52</v>
      </c>
      <c r="E2" s="8" t="s">
        <v>668</v>
      </c>
      <c r="F2" s="8" t="s">
        <v>669</v>
      </c>
      <c r="G2" s="8" t="s">
        <v>670</v>
      </c>
      <c r="H2" s="8" t="s">
        <v>671</v>
      </c>
      <c r="I2" s="8" t="s">
        <v>672</v>
      </c>
      <c r="J2" s="8" t="s">
        <v>114</v>
      </c>
      <c r="K2" s="5" t="inlineStr">
        <is>
          <t xml:space="preserve">The profile form supports saving a new name and gallery photo, then refreshing the buyer's details. The photo and name still need checking after re-login.</t>
        </is>
      </c>
      <c r="L2" s="5" t="inlineStr">
        <is>
          <t xml:space="preserve">Not Run</t>
        </is>
      </c>
      <c r="M2" s="5" t="inlineStr">
        <is>
          <t xml:space="preserve">Supported in source review; not executed. See profile_screen.dart, AuthController.php.</t>
        </is>
      </c>
    </row>
    <row r="3" customFormat="false" hidden="false" outlineLevel="0" collapsed="false" ht="136.00" customHeight="true">
      <c r="A3" s="7" t="s">
        <v>673</v>
      </c>
      <c r="B3" s="8" t="s">
        <v>666</v>
      </c>
      <c r="C3" s="8" t="s">
        <v>674</v>
      </c>
      <c r="D3" s="8" t="s">
        <v>44</v>
      </c>
      <c r="E3" s="8" t="s">
        <v>668</v>
      </c>
      <c r="F3" s="8" t="s">
        <v>669</v>
      </c>
      <c r="G3" s="8" t="s">
        <v>675</v>
      </c>
      <c r="H3" s="8" t="s">
        <v>676</v>
      </c>
      <c r="I3" s="8" t="s">
        <v>677</v>
      </c>
      <c r="J3" s="8" t="s">
        <v>114</v>
      </c>
      <c r="K3" s="5" t="inlineStr">
        <is>
          <t xml:space="preserve">Blank names are checked, but one-character names and names containing numbers are not specifically blocked. Profile uploads also have no explicit five-megabyte or image-content validation in the controller.</t>
        </is>
      </c>
      <c r="L3" s="5" t="inlineStr">
        <is>
          <t xml:space="preserve">Not Run</t>
        </is>
      </c>
      <c r="M3" s="5" t="inlineStr">
        <is>
          <t xml:space="preserve">Gap in source review; not executed. See profile_screen.dart, AuthController.php.</t>
        </is>
      </c>
    </row>
    <row r="4" customFormat="false" hidden="false" outlineLevel="0" collapsed="false" ht="108.00" customHeight="true">
      <c r="A4" s="7" t="s">
        <v>678</v>
      </c>
      <c r="B4" s="8" t="s">
        <v>666</v>
      </c>
      <c r="C4" s="8" t="s">
        <v>679</v>
      </c>
      <c r="D4" s="8" t="s">
        <v>52</v>
      </c>
      <c r="E4" s="8" t="s">
        <v>680</v>
      </c>
      <c r="F4" s="8" t="s">
        <v>681</v>
      </c>
      <c r="G4" s="8" t="s">
        <v>682</v>
      </c>
      <c r="H4" s="8" t="s">
        <v>683</v>
      </c>
      <c r="I4" s="8" t="s">
        <v>684</v>
      </c>
      <c r="J4" s="8"/>
      <c r="K4" s="5" t="inlineStr">
        <is>
          <t xml:space="preserve">A new password can be saved from Edit Profile with a matching confirmation. There is no current-password field, so the exact flow in this case is different.</t>
        </is>
      </c>
      <c r="L4" s="5" t="inlineStr">
        <is>
          <t xml:space="preserve">Not Run</t>
        </is>
      </c>
      <c r="M4" s="5" t="inlineStr">
        <is>
          <t xml:space="preserve">Partial in source review; not executed. See profile_screen.dart, AuthController.php.</t>
        </is>
      </c>
    </row>
    <row r="5" customFormat="false" hidden="false" outlineLevel="0" collapsed="false" ht="80.00" customHeight="true">
      <c r="A5" s="7" t="s">
        <v>685</v>
      </c>
      <c r="B5" s="8" t="s">
        <v>666</v>
      </c>
      <c r="C5" s="8" t="s">
        <v>686</v>
      </c>
      <c r="D5" s="8" t="s">
        <v>44</v>
      </c>
      <c r="E5" s="8" t="s">
        <v>680</v>
      </c>
      <c r="F5" s="8" t="s">
        <v>681</v>
      </c>
      <c r="G5" s="8" t="s">
        <v>687</v>
      </c>
      <c r="H5" s="8" t="s">
        <v>688</v>
      </c>
      <c r="I5" s="8" t="s">
        <v>689</v>
      </c>
      <c r="J5" s="8"/>
      <c r="K5" s="5" t="inlineStr">
        <is>
          <t xml:space="preserve">The password-change form does not ask for the old password, and the server does not check it before updating the password.</t>
        </is>
      </c>
      <c r="L5" s="5" t="inlineStr">
        <is>
          <t xml:space="preserve">Not Run</t>
        </is>
      </c>
      <c r="M5" s="5" t="inlineStr">
        <is>
          <t xml:space="preserve">Gap in source review; not executed. See profile_screen.dart, AuthController.php.</t>
        </is>
      </c>
    </row>
    <row r="6" customFormat="false" hidden="false" outlineLevel="0" collapsed="false" ht="105.75" customHeight="true">
      <c r="A6" s="7" t="s">
        <v>690</v>
      </c>
      <c r="B6" s="8" t="s">
        <v>666</v>
      </c>
      <c r="C6" s="8" t="s">
        <v>691</v>
      </c>
      <c r="D6" s="8" t="s">
        <v>48</v>
      </c>
      <c r="E6" s="8" t="s">
        <v>680</v>
      </c>
      <c r="F6" s="8" t="s">
        <v>681</v>
      </c>
      <c r="G6" s="8" t="s">
        <v>692</v>
      </c>
      <c r="H6" s="8" t="s">
        <v>693</v>
      </c>
      <c r="I6" s="8" t="s">
        <v>694</v>
      </c>
      <c r="J6" s="8"/>
      <c r="K6" s="5" t="inlineStr">
        <is>
          <t xml:space="preserve">Invoiz checks the eight-character minimum and matching confirmation. It does not enforce all character types or reject reusing the old password.</t>
        </is>
      </c>
      <c r="L6" s="5" t="inlineStr">
        <is>
          <t xml:space="preserve">Not Run</t>
        </is>
      </c>
      <c r="M6" s="5" t="inlineStr">
        <is>
          <t xml:space="preserve">Gap in source review; not executed. See profile_screen.dart, AuthController.php.</t>
        </is>
      </c>
    </row>
    <row r="7" customFormat="false" hidden="false" outlineLevel="0" collapsed="false" ht="80.00" customHeight="true">
      <c r="A7" s="7" t="s">
        <v>695</v>
      </c>
      <c r="B7" s="8" t="s">
        <v>666</v>
      </c>
      <c r="C7" s="8" t="s">
        <v>696</v>
      </c>
      <c r="D7" s="8" t="s">
        <v>50</v>
      </c>
      <c r="E7" s="8" t="s">
        <v>680</v>
      </c>
      <c r="F7" s="8" t="s">
        <v>681</v>
      </c>
      <c r="G7" s="8" t="s">
        <v>697</v>
      </c>
      <c r="H7" s="8" t="s">
        <v>698</v>
      </c>
      <c r="I7" s="8" t="s">
        <v>699</v>
      </c>
      <c r="J7" s="8"/>
      <c r="K7" s="5" t="inlineStr">
        <is>
          <t xml:space="preserve">Email is not an editable profile field, and I couldn't find an email-change verification flow.</t>
        </is>
      </c>
      <c r="L7" s="5" t="inlineStr">
        <is>
          <t xml:space="preserve">Not Run</t>
        </is>
      </c>
      <c r="M7" s="5" t="inlineStr">
        <is>
          <t xml:space="preserve">Missing in source review; not executed. See profile_screen.dart, AuthController.php.</t>
        </is>
      </c>
    </row>
    <row r="8" customFormat="false" hidden="false" outlineLevel="0" collapsed="false" ht="80.00" customHeight="true">
      <c r="A8" s="7" t="s">
        <v>700</v>
      </c>
      <c r="B8" s="8" t="s">
        <v>666</v>
      </c>
      <c r="C8" s="8" t="s">
        <v>701</v>
      </c>
      <c r="D8" s="8" t="s">
        <v>46</v>
      </c>
      <c r="E8" s="8" t="s">
        <v>668</v>
      </c>
      <c r="F8" s="8" t="s">
        <v>681</v>
      </c>
      <c r="G8" s="8" t="s">
        <v>702</v>
      </c>
      <c r="H8" s="8" t="s">
        <v>703</v>
      </c>
      <c r="I8" s="8" t="s">
        <v>704</v>
      </c>
      <c r="J8" s="8"/>
      <c r="K8" s="5" t="inlineStr">
        <is>
          <t xml:space="preserve">There is no email-change OTP process to try with a wrong or expired code. The registration OTP process is a separate feature.</t>
        </is>
      </c>
      <c r="L8" s="5" t="inlineStr">
        <is>
          <t xml:space="preserve">Not Run</t>
        </is>
      </c>
      <c r="M8" s="5" t="inlineStr">
        <is>
          <t xml:space="preserve">Missing in source review; not executed. See profile_screen.dart, AuthController.php.</t>
        </is>
      </c>
    </row>
    <row r="9" customFormat="false" hidden="false" outlineLevel="0" collapsed="false" ht="94.00" customHeight="true">
      <c r="A9" s="7" t="s">
        <v>705</v>
      </c>
      <c r="B9" s="8" t="s">
        <v>666</v>
      </c>
      <c r="C9" s="8" t="s">
        <v>706</v>
      </c>
      <c r="D9" s="8" t="s">
        <v>44</v>
      </c>
      <c r="E9" s="8" t="s">
        <v>668</v>
      </c>
      <c r="F9" s="8" t="s">
        <v>681</v>
      </c>
      <c r="G9" s="8" t="s">
        <v>707</v>
      </c>
      <c r="H9" s="8" t="s">
        <v>708</v>
      </c>
      <c r="I9" s="8" t="s">
        <v>709</v>
      </c>
      <c r="J9" s="8"/>
      <c r="K9" s="5" t="inlineStr">
        <is>
          <t xml:space="preserve">Changing the login email is not available in the current buyer profile. Duplicate-email checks exist for registration instead.</t>
        </is>
      </c>
      <c r="L9" s="5" t="inlineStr">
        <is>
          <t xml:space="preserve">Not Run</t>
        </is>
      </c>
      <c r="M9" s="5" t="inlineStr">
        <is>
          <t xml:space="preserve">Missing in source review; not executed. See profile_screen.dart, AuthController.php.</t>
        </is>
      </c>
    </row>
    <row r="10" customFormat="false" hidden="false" outlineLevel="0" collapsed="false" ht="94.00" customHeight="true">
      <c r="A10" s="7" t="s">
        <v>710</v>
      </c>
      <c r="B10" s="8" t="s">
        <v>666</v>
      </c>
      <c r="C10" s="8" t="s">
        <v>711</v>
      </c>
      <c r="D10" s="8" t="s">
        <v>50</v>
      </c>
      <c r="E10" s="8" t="s">
        <v>668</v>
      </c>
      <c r="F10" s="8" t="s">
        <v>681</v>
      </c>
      <c r="G10" s="8" t="s">
        <v>712</v>
      </c>
      <c r="H10" s="8" t="s">
        <v>713</v>
      </c>
      <c r="I10" s="8" t="s">
        <v>714</v>
      </c>
      <c r="J10" s="8"/>
      <c r="K10" s="5" t="inlineStr">
        <is>
          <t xml:space="preserve">Phone numbers can be edited directly in the profile. There is no phone OTP, unique-number check, or Philippine-number format check in that update.</t>
        </is>
      </c>
      <c r="L10" s="5" t="inlineStr">
        <is>
          <t xml:space="preserve">Not Run</t>
        </is>
      </c>
      <c r="M10" s="5" t="inlineStr">
        <is>
          <t xml:space="preserve">Gap in source review; not executed. See profile_screen.dart, AuthController.php.</t>
        </is>
      </c>
    </row>
    <row r="11" customFormat="false" hidden="false" outlineLevel="0" collapsed="false" ht="94.00" customHeight="true">
      <c r="A11" s="7" t="s">
        <v>715</v>
      </c>
      <c r="B11" s="8" t="s">
        <v>666</v>
      </c>
      <c r="C11" s="8" t="s">
        <v>716</v>
      </c>
      <c r="D11" s="8" t="s">
        <v>52</v>
      </c>
      <c r="E11" s="8" t="s">
        <v>668</v>
      </c>
      <c r="F11" s="8" t="s">
        <v>717</v>
      </c>
      <c r="G11" s="8" t="s">
        <v>718</v>
      </c>
      <c r="H11" s="8" t="s">
        <v>597</v>
      </c>
      <c r="I11" s="8" t="s">
        <v>719</v>
      </c>
      <c r="J11" s="8" t="s">
        <v>720</v>
      </c>
      <c r="K11" s="5" t="inlineStr">
        <is>
          <t xml:space="preserve">Profile photos can be selected from the gallery. There is no Take Photo choice or custom camera-permission recovery flow on this screen.</t>
        </is>
      </c>
      <c r="L11" s="5" t="inlineStr">
        <is>
          <t xml:space="preserve">Not Run</t>
        </is>
      </c>
      <c r="M11" s="5" t="inlineStr">
        <is>
          <t xml:space="preserve">Partial in source review; not executed. See profile_screen.dart, AuthController.php.</t>
        </is>
      </c>
    </row>
    <row r="12" customFormat="false" hidden="false" outlineLevel="0" collapsed="false" ht="94.00" customHeight="true">
      <c r="A12" s="7" t="s">
        <v>721</v>
      </c>
      <c r="B12" s="8" t="s">
        <v>666</v>
      </c>
      <c r="C12" s="8" t="s">
        <v>722</v>
      </c>
      <c r="D12" s="8" t="s">
        <v>50</v>
      </c>
      <c r="E12" s="8" t="s">
        <v>680</v>
      </c>
      <c r="F12" s="8" t="s">
        <v>723</v>
      </c>
      <c r="G12" s="8" t="s">
        <v>724</v>
      </c>
      <c r="H12" s="8" t="s">
        <v>725</v>
      </c>
      <c r="I12" s="8" t="s">
        <v>726</v>
      </c>
      <c r="J12" s="8" t="s">
        <v>216</v>
      </c>
      <c r="K12" s="5" t="inlineStr">
        <is>
          <t xml:space="preserve">Changing a password does not revoke the account's other login tokens. Signing out another phone after the change is not implemented in this update.</t>
        </is>
      </c>
      <c r="L12" s="5" t="inlineStr">
        <is>
          <t xml:space="preserve">Not Run</t>
        </is>
      </c>
      <c r="M12" s="5" t="inlineStr">
        <is>
          <t xml:space="preserve">Gap in source review; not executed. See AuthController.php.</t>
        </is>
      </c>
    </row>
    <row r="13" customFormat="false" hidden="false" outlineLevel="0" collapsed="false" ht="94.00" customHeight="true">
      <c r="A13" s="7" t="s">
        <v>727</v>
      </c>
      <c r="B13" s="8" t="s">
        <v>666</v>
      </c>
      <c r="C13" s="8" t="s">
        <v>728</v>
      </c>
      <c r="D13" s="8" t="s">
        <v>50</v>
      </c>
      <c r="E13" s="8" t="s">
        <v>680</v>
      </c>
      <c r="F13" s="8" t="s">
        <v>681</v>
      </c>
      <c r="G13" s="8" t="s">
        <v>729</v>
      </c>
      <c r="H13" s="8"/>
      <c r="I13" s="8" t="s">
        <v>730</v>
      </c>
      <c r="J13" s="8" t="s">
        <v>731</v>
      </c>
      <c r="K13" s="5" t="inlineStr">
        <is>
          <t xml:space="preserve">The app saves the login session and clears navigation to login on logout. Closing, reopening, and pressing Back still need testing on a phone.</t>
        </is>
      </c>
      <c r="L13" s="5" t="inlineStr">
        <is>
          <t xml:space="preserve">Not Run</t>
        </is>
      </c>
      <c r="M13" s="5" t="inlineStr">
        <is>
          <t xml:space="preserve">Needs live check in source review; not executed. See auth_service.dart, account_screen.dart.</t>
        </is>
      </c>
    </row>
  </sheetData>
  <autoFilter ref="A1:M13"/>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idden="false" outlineLevel="0" collapsed="false" ht="122.00" customHeight="true">
      <c r="A2" s="7" t="s">
        <v>732</v>
      </c>
      <c r="B2" s="8" t="s">
        <v>733</v>
      </c>
      <c r="C2" s="8" t="s">
        <v>734</v>
      </c>
      <c r="D2" s="8" t="s">
        <v>52</v>
      </c>
      <c r="E2" s="8" t="s">
        <v>680</v>
      </c>
      <c r="F2" s="8" t="s">
        <v>735</v>
      </c>
      <c r="G2" s="8" t="s">
        <v>736</v>
      </c>
      <c r="H2" s="8" t="s">
        <v>737</v>
      </c>
      <c r="I2" s="8" t="s">
        <v>738</v>
      </c>
      <c r="J2" s="8" t="s">
        <v>156</v>
      </c>
      <c r="K2" s="5" t="inlineStr">
        <is>
          <t xml:space="preserve">A new address can be added and left unmarked as default. The current address form uses typed place names, and the account menu opens Add Address rather than an address-book list.</t>
        </is>
      </c>
      <c r="L2" s="5" t="inlineStr">
        <is>
          <t xml:space="preserve">Not Run</t>
        </is>
      </c>
      <c r="M2" s="5" t="inlineStr">
        <is>
          <t xml:space="preserve">Partial in source review; not executed. See add_address_screen.dart, AddressController.php.</t>
        </is>
      </c>
    </row>
    <row r="3" customFormat="false" hidden="false" outlineLevel="0" collapsed="false" ht="122.00" customHeight="true">
      <c r="A3" s="7" t="s">
        <v>739</v>
      </c>
      <c r="B3" s="8" t="s">
        <v>733</v>
      </c>
      <c r="C3" s="8" t="s">
        <v>740</v>
      </c>
      <c r="D3" s="8" t="s">
        <v>44</v>
      </c>
      <c r="E3" s="8" t="s">
        <v>680</v>
      </c>
      <c r="F3" s="8" t="s">
        <v>681</v>
      </c>
      <c r="G3" s="8" t="s">
        <v>741</v>
      </c>
      <c r="H3" s="8"/>
      <c r="I3" s="8" t="s">
        <v>742</v>
      </c>
      <c r="J3" s="8"/>
      <c r="K3" s="5" t="inlineStr">
        <is>
          <t xml:space="preserve">The shipping-address form uses text fields for province, city, and barangay. The linked dropdowns belong to registration, so this address-book cascade is not available.</t>
        </is>
      </c>
      <c r="L3" s="5" t="inlineStr">
        <is>
          <t xml:space="preserve">Not Run</t>
        </is>
      </c>
      <c r="M3" s="5" t="inlineStr">
        <is>
          <t xml:space="preserve">Gap in source review; not executed. See add_address_screen.dart, AddressController.php.</t>
        </is>
      </c>
    </row>
    <row r="4" customFormat="false" hidden="false" outlineLevel="0" collapsed="false" ht="80.00" customHeight="true">
      <c r="A4" s="7" t="s">
        <v>743</v>
      </c>
      <c r="B4" s="8" t="s">
        <v>733</v>
      </c>
      <c r="C4" s="8" t="s">
        <v>744</v>
      </c>
      <c r="D4" s="8" t="s">
        <v>44</v>
      </c>
      <c r="E4" s="8" t="s">
        <v>680</v>
      </c>
      <c r="F4" s="8" t="s">
        <v>681</v>
      </c>
      <c r="G4" s="8" t="s">
        <v>745</v>
      </c>
      <c r="H4" s="8" t="s">
        <v>746</v>
      </c>
      <c r="I4" s="8" t="s">
        <v>747</v>
      </c>
      <c r="J4" s="8"/>
      <c r="K4" s="5" t="inlineStr">
        <is>
          <t xml:space="preserve">Recipient, phone, street, barangay, city, and province have required checks. There is no Region field in this form.</t>
        </is>
      </c>
      <c r="L4" s="5" t="inlineStr">
        <is>
          <t xml:space="preserve">Not Run</t>
        </is>
      </c>
      <c r="M4" s="5" t="inlineStr">
        <is>
          <t xml:space="preserve">Partial in source review; not executed. See add_address_screen.dart, AddressController.php.</t>
        </is>
      </c>
    </row>
    <row r="5" customFormat="false" hidden="false" outlineLevel="0" collapsed="false" ht="122.00" customHeight="true">
      <c r="A5" s="7" t="s">
        <v>748</v>
      </c>
      <c r="B5" s="8" t="s">
        <v>733</v>
      </c>
      <c r="C5" s="8" t="s">
        <v>749</v>
      </c>
      <c r="D5" s="8" t="s">
        <v>44</v>
      </c>
      <c r="E5" s="8" t="s">
        <v>668</v>
      </c>
      <c r="F5" s="8" t="s">
        <v>681</v>
      </c>
      <c r="G5" s="8" t="s">
        <v>750</v>
      </c>
      <c r="H5" s="8" t="s">
        <v>751</v>
      </c>
      <c r="I5" s="8" t="s">
        <v>752</v>
      </c>
      <c r="J5" s="8"/>
      <c r="K5" s="5" t="inlineStr">
        <is>
          <t xml:space="preserve">The address form checks that a phone value is present but does not enforce the two Philippine mobile formats. Short and long numbers are not specifically rejected for their length.</t>
        </is>
      </c>
      <c r="L5" s="5" t="inlineStr">
        <is>
          <t xml:space="preserve">Not Run</t>
        </is>
      </c>
      <c r="M5" s="5" t="inlineStr">
        <is>
          <t xml:space="preserve">Gap in source review; not executed. See add_address_screen.dart, AddressController.php.</t>
        </is>
      </c>
    </row>
    <row r="6" customFormat="false" hidden="false" outlineLevel="0" collapsed="false" ht="94.00" customHeight="true">
      <c r="A6" s="7" t="s">
        <v>753</v>
      </c>
      <c r="B6" s="8" t="s">
        <v>733</v>
      </c>
      <c r="C6" s="8" t="s">
        <v>754</v>
      </c>
      <c r="D6" s="8" t="s">
        <v>46</v>
      </c>
      <c r="E6" s="8" t="s">
        <v>755</v>
      </c>
      <c r="F6" s="8" t="s">
        <v>756</v>
      </c>
      <c r="G6" s="8" t="s">
        <v>757</v>
      </c>
      <c r="H6" s="8"/>
      <c r="I6" s="8" t="s">
        <v>758</v>
      </c>
      <c r="J6" s="8" t="s">
        <v>156</v>
      </c>
      <c r="K6" s="5" t="inlineStr">
        <is>
          <t xml:space="preserve">I couldn't find a ten-address limit in the address controller. The eleventh address is not specifically blocked by that rule.</t>
        </is>
      </c>
      <c r="L6" s="5" t="inlineStr">
        <is>
          <t xml:space="preserve">Not Run</t>
        </is>
      </c>
      <c r="M6" s="5" t="inlineStr">
        <is>
          <t xml:space="preserve">Gap in source review; not executed. See add_address_screen.dart, AddressController.php.</t>
        </is>
      </c>
    </row>
    <row r="7" customFormat="false" hidden="false" outlineLevel="0" collapsed="false" ht="108.00" customHeight="true">
      <c r="A7" s="7" t="s">
        <v>759</v>
      </c>
      <c r="B7" s="8" t="s">
        <v>733</v>
      </c>
      <c r="C7" s="8" t="s">
        <v>760</v>
      </c>
      <c r="D7" s="8" t="s">
        <v>50</v>
      </c>
      <c r="E7" s="8" t="s">
        <v>668</v>
      </c>
      <c r="F7" s="8" t="s">
        <v>681</v>
      </c>
      <c r="G7" s="8" t="s">
        <v>761</v>
      </c>
      <c r="H7" s="8" t="s">
        <v>309</v>
      </c>
      <c r="I7" s="8" t="s">
        <v>762</v>
      </c>
      <c r="J7" s="8" t="s">
        <v>156</v>
      </c>
      <c r="K7" s="5" t="inlineStr">
        <is>
          <t xml:space="preserve">A newly added address can be marked default, and checkout prefers the default address. The app has no address-book screen for selecting and changing an existing default.</t>
        </is>
      </c>
      <c r="L7" s="5" t="inlineStr">
        <is>
          <t xml:space="preserve">Not Run</t>
        </is>
      </c>
      <c r="M7" s="5" t="inlineStr">
        <is>
          <t xml:space="preserve">Partial in source review; not executed. See add_address_screen.dart, AddressController.php.</t>
        </is>
      </c>
    </row>
    <row r="8" customFormat="false" hidden="false" outlineLevel="0" collapsed="false" ht="136.00" customHeight="true">
      <c r="A8" s="7" t="s">
        <v>763</v>
      </c>
      <c r="B8" s="8" t="s">
        <v>733</v>
      </c>
      <c r="C8" s="8" t="s">
        <v>764</v>
      </c>
      <c r="D8" s="8" t="s">
        <v>50</v>
      </c>
      <c r="E8" s="8" t="s">
        <v>680</v>
      </c>
      <c r="F8" s="8" t="s">
        <v>765</v>
      </c>
      <c r="G8" s="8" t="s">
        <v>766</v>
      </c>
      <c r="H8" s="8"/>
      <c r="I8" s="8" t="s">
        <v>767</v>
      </c>
      <c r="J8" s="8" t="s">
        <v>156</v>
      </c>
      <c r="K8" s="5" t="inlineStr">
        <is>
          <t xml:space="preserve">The delete endpoint does not protect the default address or select a replacement. A database restriction may block deleting an address used by an order, but it does not enforce the default-address rule.</t>
        </is>
      </c>
      <c r="L8" s="5" t="inlineStr">
        <is>
          <t xml:space="preserve">Not Run</t>
        </is>
      </c>
      <c r="M8" s="5" t="inlineStr">
        <is>
          <t xml:space="preserve">Gap in source review; not executed. See add_address_screen.dart, AddressController.php.</t>
        </is>
      </c>
    </row>
    <row r="9" customFormat="false" hidden="false" outlineLevel="0" collapsed="false" ht="136.00" customHeight="true">
      <c r="A9" s="7" t="s">
        <v>768</v>
      </c>
      <c r="B9" s="8" t="s">
        <v>733</v>
      </c>
      <c r="C9" s="8" t="s">
        <v>769</v>
      </c>
      <c r="D9" s="8" t="s">
        <v>54</v>
      </c>
      <c r="E9" s="8" t="s">
        <v>680</v>
      </c>
      <c r="F9" s="8" t="s">
        <v>770</v>
      </c>
      <c r="G9" s="8" t="s">
        <v>771</v>
      </c>
      <c r="H9" s="8" t="s">
        <v>772</v>
      </c>
      <c r="I9" s="8" t="s">
        <v>773</v>
      </c>
      <c r="J9" s="8" t="s">
        <v>156</v>
      </c>
      <c r="K9" s="5" t="inlineStr">
        <is>
          <t xml:space="preserve">An order links to the saved address instead of keeping a separate address copy. Editing that address could change the order's address details, while deleting a referenced address is restricted by the supplied schema.</t>
        </is>
      </c>
      <c r="L9" s="5" t="inlineStr">
        <is>
          <t xml:space="preserve">Not Run</t>
        </is>
      </c>
      <c r="M9" s="5" t="inlineStr">
        <is>
          <t xml:space="preserve">Gap in source review; not executed. See Order.php, invoizdb.sql.</t>
        </is>
      </c>
    </row>
    <row r="10" customFormat="false" hidden="false" outlineLevel="0" collapsed="false" ht="94.00" customHeight="true">
      <c r="A10" s="7" t="s">
        <v>774</v>
      </c>
      <c r="B10" s="8" t="s">
        <v>733</v>
      </c>
      <c r="C10" s="8" t="s">
        <v>775</v>
      </c>
      <c r="D10" s="8" t="s">
        <v>54</v>
      </c>
      <c r="E10" s="8" t="s">
        <v>680</v>
      </c>
      <c r="F10" s="8" t="s">
        <v>681</v>
      </c>
      <c r="G10" s="8" t="s">
        <v>776</v>
      </c>
      <c r="H10" s="8"/>
      <c r="I10" s="8" t="s">
        <v>777</v>
      </c>
      <c r="J10" s="8" t="s">
        <v>778</v>
      </c>
      <c r="K10" s="5" t="inlineStr">
        <is>
          <t xml:space="preserve">Address updates and deletions are restricted to the signed-in buyer's records. There is no public endpoint for viewing another buyer's address.</t>
        </is>
      </c>
      <c r="L10" s="5" t="inlineStr">
        <is>
          <t xml:space="preserve">Not Run</t>
        </is>
      </c>
      <c r="M10" s="5" t="inlineStr">
        <is>
          <t xml:space="preserve">Supported in source review; not executed. See add_address_screen.dart, AddressController.php.</t>
        </is>
      </c>
    </row>
    <row r="11" customFormat="false" hidden="false" outlineLevel="0" collapsed="false" ht="80.00" customHeight="true">
      <c r="A11" s="7" t="s">
        <v>779</v>
      </c>
      <c r="B11" s="8" t="s">
        <v>733</v>
      </c>
      <c r="C11" s="8" t="s">
        <v>780</v>
      </c>
      <c r="D11" s="8" t="s">
        <v>44</v>
      </c>
      <c r="E11" s="8" t="s">
        <v>755</v>
      </c>
      <c r="F11" s="8" t="s">
        <v>781</v>
      </c>
      <c r="G11" s="8" t="s">
        <v>782</v>
      </c>
      <c r="H11" s="8"/>
      <c r="I11" s="8" t="s">
        <v>783</v>
      </c>
      <c r="J11" s="8" t="s">
        <v>207</v>
      </c>
      <c r="K11" s="5" t="inlineStr">
        <is>
          <t xml:space="preserve">I couldn't find a Use My Location option or location lookup in the shipping-address form. Addresses are entered manually.</t>
        </is>
      </c>
      <c r="L11" s="5" t="inlineStr">
        <is>
          <t xml:space="preserve">Not Run</t>
        </is>
      </c>
      <c r="M11" s="5" t="inlineStr">
        <is>
          <t xml:space="preserve">Missing in source review; not executed. See add_address_screen.dart, AddressController.php.</t>
        </is>
      </c>
    </row>
    <row r="12" customFormat="false" hidden="false" outlineLevel="0" collapsed="false" ht="108.00" customHeight="true">
      <c r="A12" s="7" t="s">
        <v>784</v>
      </c>
      <c r="B12" s="8" t="s">
        <v>733</v>
      </c>
      <c r="C12" s="8" t="s">
        <v>785</v>
      </c>
      <c r="D12" s="8" t="s">
        <v>54</v>
      </c>
      <c r="E12" s="8" t="s">
        <v>755</v>
      </c>
      <c r="F12" s="8" t="s">
        <v>786</v>
      </c>
      <c r="G12" s="8" t="s">
        <v>787</v>
      </c>
      <c r="H12" s="8"/>
      <c r="I12" s="8" t="s">
        <v>788</v>
      </c>
      <c r="J12" s="8" t="s">
        <v>789</v>
      </c>
      <c r="K12" s="5" t="inlineStr">
        <is>
          <t xml:space="preserve">Phone uses a phone keyboard, while recipient and street use text fields in a scrollable form. Reaching Save with the keyboard open still needs a phone check.</t>
        </is>
      </c>
      <c r="L12" s="5" t="inlineStr">
        <is>
          <t xml:space="preserve">Not Run</t>
        </is>
      </c>
      <c r="M12" s="5" t="inlineStr">
        <is>
          <t xml:space="preserve">Device check in source review; not executed. See add_address_screen.dart, AddressController.php.</t>
        </is>
      </c>
    </row>
  </sheetData>
  <autoFilter ref="A1:M12"/>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idden="false" outlineLevel="0" collapsed="false" ht="108.00" customHeight="true">
      <c r="A2" s="7" t="s">
        <v>790</v>
      </c>
      <c r="B2" s="8" t="s">
        <v>791</v>
      </c>
      <c r="C2" s="8" t="s">
        <v>792</v>
      </c>
      <c r="D2" s="8" t="s">
        <v>52</v>
      </c>
      <c r="E2" s="8" t="s">
        <v>668</v>
      </c>
      <c r="F2" s="8" t="s">
        <v>681</v>
      </c>
      <c r="G2" s="8" t="s">
        <v>793</v>
      </c>
      <c r="H2" s="8"/>
      <c r="I2" s="8" t="s">
        <v>794</v>
      </c>
      <c r="J2" s="8"/>
      <c r="K2" s="5" t="inlineStr">
        <is>
          <t xml:space="preserve">Category browsing filters active products by their category. The named sample product and complete result list need checking with the workbook's test data loaded.</t>
        </is>
      </c>
      <c r="L2" s="5" t="inlineStr">
        <is>
          <t xml:space="preserve">Not Run</t>
        </is>
      </c>
      <c r="M2" s="5" t="inlineStr">
        <is>
          <t xml:space="preserve">Supported in source review; not executed. See home_screen.dart, product_list_screen.dart, ProductController.php.</t>
        </is>
      </c>
    </row>
    <row r="3" customFormat="false" hidden="false" outlineLevel="0" collapsed="false" ht="94.00" customHeight="true">
      <c r="A3" s="7" t="s">
        <v>795</v>
      </c>
      <c r="B3" s="8" t="s">
        <v>791</v>
      </c>
      <c r="C3" s="8" t="s">
        <v>796</v>
      </c>
      <c r="D3" s="8" t="s">
        <v>52</v>
      </c>
      <c r="E3" s="8" t="s">
        <v>668</v>
      </c>
      <c r="F3" s="8" t="s">
        <v>681</v>
      </c>
      <c r="G3" s="8" t="s">
        <v>797</v>
      </c>
      <c r="H3" s="8"/>
      <c r="I3" s="8" t="s">
        <v>798</v>
      </c>
      <c r="J3" s="8"/>
      <c r="K3" s="5" t="inlineStr">
        <is>
          <t xml:space="preserve">The store page offers products, search, sorting, and reviews. The seller-defined category tree described in this case is not available.</t>
        </is>
      </c>
      <c r="L3" s="5" t="inlineStr">
        <is>
          <t xml:space="preserve">Not Run</t>
        </is>
      </c>
      <c r="M3" s="5" t="inlineStr">
        <is>
          <t xml:space="preserve">Missing in source review; not executed. See home_screen.dart, product_list_screen.dart, ProductController.php.</t>
        </is>
      </c>
    </row>
    <row r="4" customFormat="false" hidden="false" outlineLevel="0" collapsed="false" ht="122.00" customHeight="true">
      <c r="A4" s="7" t="s">
        <v>799</v>
      </c>
      <c r="B4" s="8" t="s">
        <v>791</v>
      </c>
      <c r="C4" s="8" t="s">
        <v>800</v>
      </c>
      <c r="D4" s="8" t="s">
        <v>44</v>
      </c>
      <c r="E4" s="8" t="s">
        <v>680</v>
      </c>
      <c r="F4" s="8" t="s">
        <v>681</v>
      </c>
      <c r="G4" s="8" t="s">
        <v>801</v>
      </c>
      <c r="H4" s="8" t="s">
        <v>802</v>
      </c>
      <c r="I4" s="8" t="s">
        <v>803</v>
      </c>
      <c r="J4" s="8"/>
      <c r="K4" s="5" t="inlineStr">
        <is>
          <t xml:space="preserve">Searches use product names and descriptions, and the app trims outer spaces. The supplied database uses case-insensitive text matching, so the named test product needs checking in that database.</t>
        </is>
      </c>
      <c r="L4" s="5" t="inlineStr">
        <is>
          <t xml:space="preserve">Not Run</t>
        </is>
      </c>
      <c r="M4" s="5" t="inlineStr">
        <is>
          <t xml:space="preserve">Supported in source review; not executed. See invoizdb.sql, ProductController.php.</t>
        </is>
      </c>
    </row>
    <row r="5" customFormat="false" hidden="false" outlineLevel="0" collapsed="false" ht="94.00" customHeight="true">
      <c r="A5" s="7" t="s">
        <v>804</v>
      </c>
      <c r="B5" s="8" t="s">
        <v>791</v>
      </c>
      <c r="C5" s="8" t="s">
        <v>805</v>
      </c>
      <c r="D5" s="8" t="s">
        <v>44</v>
      </c>
      <c r="E5" s="8" t="s">
        <v>668</v>
      </c>
      <c r="F5" s="8" t="s">
        <v>681</v>
      </c>
      <c r="G5" s="8" t="s">
        <v>801</v>
      </c>
      <c r="H5" s="8" t="s">
        <v>806</v>
      </c>
      <c r="I5" s="8" t="s">
        <v>807</v>
      </c>
      <c r="J5" s="8"/>
      <c r="K5" s="5" t="inlineStr">
        <is>
          <t xml:space="preserve">An unmatched search has a no-results state. There is no spelling correction or Did You Mean suggestion for the typo.</t>
        </is>
      </c>
      <c r="L5" s="5" t="inlineStr">
        <is>
          <t xml:space="preserve">Not Run</t>
        </is>
      </c>
      <c r="M5" s="5" t="inlineStr">
        <is>
          <t xml:space="preserve">Partial in source review; not executed. See home_screen.dart, product_list_screen.dart, ProductController.php.</t>
        </is>
      </c>
    </row>
    <row r="6" customFormat="false" hidden="false" outlineLevel="0" collapsed="false" ht="108.00" customHeight="true">
      <c r="A6" s="7" t="s">
        <v>808</v>
      </c>
      <c r="B6" s="8" t="s">
        <v>791</v>
      </c>
      <c r="C6" s="8" t="s">
        <v>809</v>
      </c>
      <c r="D6" s="8" t="s">
        <v>54</v>
      </c>
      <c r="E6" s="8" t="s">
        <v>680</v>
      </c>
      <c r="F6" s="8" t="s">
        <v>681</v>
      </c>
      <c r="G6" s="8" t="s">
        <v>810</v>
      </c>
      <c r="H6" s="8" t="s">
        <v>811</v>
      </c>
      <c r="I6" s="8" t="s">
        <v>812</v>
      </c>
      <c r="J6" s="8"/>
      <c r="K6" s="5" t="inlineStr">
        <is>
          <t xml:space="preserve">Search values are passed as query values, and product text is shown as plain text. Percent signs are not escaped as literal search characters, so searching % can match many products.</t>
        </is>
      </c>
      <c r="L6" s="5" t="inlineStr">
        <is>
          <t xml:space="preserve">Not Run</t>
        </is>
      </c>
      <c r="M6" s="5" t="inlineStr">
        <is>
          <t xml:space="preserve">Partial in source review; not executed. See home_screen.dart, product_list_screen.dart, ProductController.php.</t>
        </is>
      </c>
    </row>
    <row r="7" customFormat="false" hidden="false" outlineLevel="0" collapsed="false" ht="94.00" customHeight="true">
      <c r="A7" s="7" t="s">
        <v>813</v>
      </c>
      <c r="B7" s="8" t="s">
        <v>791</v>
      </c>
      <c r="C7" s="8" t="s">
        <v>814</v>
      </c>
      <c r="D7" s="8" t="s">
        <v>54</v>
      </c>
      <c r="E7" s="8" t="s">
        <v>755</v>
      </c>
      <c r="F7" s="8" t="s">
        <v>681</v>
      </c>
      <c r="G7" s="8" t="s">
        <v>815</v>
      </c>
      <c r="H7" s="8"/>
      <c r="I7" s="8" t="s">
        <v>816</v>
      </c>
      <c r="J7" s="8"/>
      <c r="K7" s="5" t="inlineStr">
        <is>
          <t xml:space="preserve">An empty search returns the normal listing instead of submitting a special empty-result search.</t>
        </is>
      </c>
      <c r="L7" s="5" t="inlineStr">
        <is>
          <t xml:space="preserve">Not Run</t>
        </is>
      </c>
      <c r="M7" s="5" t="inlineStr">
        <is>
          <t xml:space="preserve">Supported in source review; not executed. See home_screen.dart, product_list_screen.dart, ProductController.php.</t>
        </is>
      </c>
    </row>
    <row r="8" customFormat="false" hidden="false" outlineLevel="0" collapsed="false" ht="108.00" customHeight="true">
      <c r="A8" s="7" t="s">
        <v>817</v>
      </c>
      <c r="B8" s="8" t="s">
        <v>791</v>
      </c>
      <c r="C8" s="8" t="s">
        <v>818</v>
      </c>
      <c r="D8" s="8" t="s">
        <v>46</v>
      </c>
      <c r="E8" s="8" t="s">
        <v>680</v>
      </c>
      <c r="F8" s="8" t="s">
        <v>681</v>
      </c>
      <c r="G8" s="8" t="s">
        <v>819</v>
      </c>
      <c r="H8" s="8" t="s">
        <v>820</v>
      </c>
      <c r="I8" s="8" t="s">
        <v>821</v>
      </c>
      <c r="J8" s="8"/>
      <c r="K8" s="5" t="inlineStr">
        <is>
          <t xml:space="preserve">There is an Under ₱500 shortcut, but no editable minimum-and-maximum price range. The requested boundary values cannot be entered through the current filters.</t>
        </is>
      </c>
      <c r="L8" s="5" t="inlineStr">
        <is>
          <t xml:space="preserve">Not Run</t>
        </is>
      </c>
      <c r="M8" s="5" t="inlineStr">
        <is>
          <t xml:space="preserve">Missing in source review; not executed. See home_screen.dart, product_list_screen.dart, ProductController.php.</t>
        </is>
      </c>
    </row>
    <row r="9" customFormat="false" hidden="false" outlineLevel="0" collapsed="false" ht="108.00" customHeight="true">
      <c r="A9" s="7" t="s">
        <v>822</v>
      </c>
      <c r="B9" s="8" t="s">
        <v>791</v>
      </c>
      <c r="C9" s="8" t="s">
        <v>823</v>
      </c>
      <c r="D9" s="8" t="s">
        <v>48</v>
      </c>
      <c r="E9" s="8" t="s">
        <v>668</v>
      </c>
      <c r="F9" s="8" t="s">
        <v>681</v>
      </c>
      <c r="G9" s="8" t="s">
        <v>824</v>
      </c>
      <c r="H9" s="8"/>
      <c r="I9" s="8" t="s">
        <v>825</v>
      </c>
      <c r="J9" s="8"/>
      <c r="K9" s="5" t="inlineStr">
        <is>
          <t xml:space="preserve">The Home shortcuts filter the original loaded product list rather than combining every active search and category filter. The full combined-filter result is not guaranteed.</t>
        </is>
      </c>
      <c r="L9" s="5" t="inlineStr">
        <is>
          <t xml:space="preserve">Not Run</t>
        </is>
      </c>
      <c r="M9" s="5" t="inlineStr">
        <is>
          <t xml:space="preserve">Gap in source review; not executed. See home_screen.dart, product_list_screen.dart, ProductController.php.</t>
        </is>
      </c>
    </row>
    <row r="10" customFormat="false" hidden="false" outlineLevel="0" collapsed="false" ht="94.00" customHeight="true">
      <c r="A10" s="7" t="s">
        <v>826</v>
      </c>
      <c r="B10" s="8" t="s">
        <v>791</v>
      </c>
      <c r="C10" s="8" t="s">
        <v>827</v>
      </c>
      <c r="D10" s="8" t="s">
        <v>44</v>
      </c>
      <c r="E10" s="8" t="s">
        <v>668</v>
      </c>
      <c r="F10" s="8" t="s">
        <v>681</v>
      </c>
      <c r="G10" s="8" t="s">
        <v>828</v>
      </c>
      <c r="H10" s="8"/>
      <c r="I10" s="8" t="s">
        <v>829</v>
      </c>
      <c r="J10" s="8"/>
      <c r="K10" s="5" t="inlineStr">
        <is>
          <t xml:space="preserve">Price, rating, and discount sorting are available. The screens load a fixed first page and do not implement loading further pages while scrolling.</t>
        </is>
      </c>
      <c r="L10" s="5" t="inlineStr">
        <is>
          <t xml:space="preserve">Not Run</t>
        </is>
      </c>
      <c r="M10" s="5" t="inlineStr">
        <is>
          <t xml:space="preserve">Partial in source review; not executed. See home_screen.dart, product_list_screen.dart, ProductController.php.</t>
        </is>
      </c>
    </row>
    <row r="11" customFormat="false" hidden="false" outlineLevel="0" collapsed="false" ht="94.00" customHeight="true">
      <c r="A11" s="7" t="s">
        <v>830</v>
      </c>
      <c r="B11" s="8" t="s">
        <v>791</v>
      </c>
      <c r="C11" s="8" t="s">
        <v>831</v>
      </c>
      <c r="D11" s="8" t="s">
        <v>54</v>
      </c>
      <c r="E11" s="8" t="s">
        <v>680</v>
      </c>
      <c r="F11" s="8" t="s">
        <v>832</v>
      </c>
      <c r="G11" s="8" t="s">
        <v>833</v>
      </c>
      <c r="H11" s="8"/>
      <c r="I11" s="8" t="s">
        <v>834</v>
      </c>
      <c r="J11" s="8" t="s">
        <v>222</v>
      </c>
      <c r="K11" s="5" t="inlineStr">
        <is>
          <t xml:space="preserve">Product listings and detail requests filter for active products. Opening the listed links and confirming the unavailable screen still needs a live test.</t>
        </is>
      </c>
      <c r="L11" s="5" t="inlineStr">
        <is>
          <t xml:space="preserve">Not Run</t>
        </is>
      </c>
      <c r="M11" s="5" t="inlineStr">
        <is>
          <t xml:space="preserve">Partial in source review; not executed. See home_screen.dart, product_list_screen.dart, ProductController.php.</t>
        </is>
      </c>
    </row>
    <row r="12" customFormat="false" hidden="false" outlineLevel="0" collapsed="false" ht="94.00" customHeight="true">
      <c r="A12" s="7" t="s">
        <v>835</v>
      </c>
      <c r="B12" s="8" t="s">
        <v>791</v>
      </c>
      <c r="C12" s="8" t="s">
        <v>836</v>
      </c>
      <c r="D12" s="8" t="s">
        <v>44</v>
      </c>
      <c r="E12" s="8" t="s">
        <v>755</v>
      </c>
      <c r="F12" s="8" t="s">
        <v>837</v>
      </c>
      <c r="G12" s="8" t="s">
        <v>838</v>
      </c>
      <c r="H12" s="8"/>
      <c r="I12" s="8" t="s">
        <v>839</v>
      </c>
      <c r="J12" s="8" t="s">
        <v>120</v>
      </c>
      <c r="K12" s="5" t="inlineStr">
        <is>
          <t xml:space="preserve">I couldn't find a vacation-store flag or an On Vacation purchase block in the buyer app.</t>
        </is>
      </c>
      <c r="L12" s="5" t="inlineStr">
        <is>
          <t xml:space="preserve">Not Run</t>
        </is>
      </c>
      <c r="M12" s="5" t="inlineStr">
        <is>
          <t xml:space="preserve">Missing in source review; not executed. See home_screen.dart, product_list_screen.dart, ProductController.php.</t>
        </is>
      </c>
    </row>
    <row r="13" customFormat="false" hidden="false" outlineLevel="0" collapsed="false" ht="108.00" customHeight="true">
      <c r="A13" s="7" t="s">
        <v>840</v>
      </c>
      <c r="B13" s="8" t="s">
        <v>791</v>
      </c>
      <c r="C13" s="8" t="s">
        <v>841</v>
      </c>
      <c r="D13" s="8" t="s">
        <v>52</v>
      </c>
      <c r="E13" s="8" t="s">
        <v>755</v>
      </c>
      <c r="F13" s="8" t="s">
        <v>681</v>
      </c>
      <c r="G13" s="8" t="s">
        <v>842</v>
      </c>
      <c r="H13" s="8" t="s">
        <v>843</v>
      </c>
      <c r="I13" s="8" t="s">
        <v>844</v>
      </c>
      <c r="J13" s="8" t="s">
        <v>195</v>
      </c>
      <c r="K13" s="5" t="inlineStr">
        <is>
          <t xml:space="preserve">The keyboard Search action is connected, and Home has pull to refresh. Home refresh reloads the general list, so it does not preserve the same filtered search results.</t>
        </is>
      </c>
      <c r="L13" s="5" t="inlineStr">
        <is>
          <t xml:space="preserve">Not Run</t>
        </is>
      </c>
      <c r="M13" s="5" t="inlineStr">
        <is>
          <t xml:space="preserve">Partial in source review; not executed. See home_screen.dart, product_list_screen.dart, ProductController.php.</t>
        </is>
      </c>
    </row>
    <row r="14" customFormat="false" hidden="false" outlineLevel="0" collapsed="false" ht="108.00" customHeight="true">
      <c r="A14" s="7" t="s">
        <v>845</v>
      </c>
      <c r="B14" s="8" t="s">
        <v>791</v>
      </c>
      <c r="C14" s="8" t="s">
        <v>846</v>
      </c>
      <c r="D14" s="8" t="s">
        <v>54</v>
      </c>
      <c r="E14" s="8" t="s">
        <v>668</v>
      </c>
      <c r="F14" s="8" t="s">
        <v>681</v>
      </c>
      <c r="G14" s="8" t="s">
        <v>847</v>
      </c>
      <c r="H14" s="8" t="s">
        <v>843</v>
      </c>
      <c r="I14" s="8" t="s">
        <v>848</v>
      </c>
      <c r="J14" s="8" t="s">
        <v>204</v>
      </c>
      <c r="K14" s="5" t="inlineStr">
        <is>
          <t xml:space="preserve">Failed searches show an error message, but the app has no dedicated offline search or retry state. Airplane-mode recovery needs testing with the named product available.</t>
        </is>
      </c>
      <c r="L14" s="5" t="inlineStr">
        <is>
          <t xml:space="preserve">Not Run</t>
        </is>
      </c>
      <c r="M14" s="5" t="inlineStr">
        <is>
          <t xml:space="preserve">Needs live check in source review; not executed. See home_screen.dart, product_list_screen.dart, ProductController.php.</t>
        </is>
      </c>
    </row>
  </sheetData>
  <autoFilter ref="A1:M14"/>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idden="false" outlineLevel="0" collapsed="false" ht="108.00" customHeight="true">
      <c r="A2" s="7" t="s">
        <v>849</v>
      </c>
      <c r="B2" s="8" t="s">
        <v>850</v>
      </c>
      <c r="C2" s="8" t="s">
        <v>851</v>
      </c>
      <c r="D2" s="8" t="s">
        <v>48</v>
      </c>
      <c r="E2" s="8" t="s">
        <v>680</v>
      </c>
      <c r="F2" s="8" t="s">
        <v>852</v>
      </c>
      <c r="G2" s="8" t="s">
        <v>853</v>
      </c>
      <c r="H2" s="8"/>
      <c r="I2" s="8" t="s">
        <v>854</v>
      </c>
      <c r="J2" s="8"/>
      <c r="K2" s="5" t="inlineStr">
        <is>
          <t xml:space="preserve">A buyer can submit without selecting a variant, and the page stores only one selected variant at a time. It does not require both colour and size selections as described.</t>
        </is>
      </c>
      <c r="L2" s="5" t="inlineStr">
        <is>
          <t xml:space="preserve">Not Run</t>
        </is>
      </c>
      <c r="M2" s="5" t="inlineStr">
        <is>
          <t xml:space="preserve">Gap in source review; not executed. See product_detail_screen.dart, CartController.php.</t>
        </is>
      </c>
    </row>
    <row r="3" customFormat="false" hidden="false" outlineLevel="0" collapsed="false" ht="80.00" customHeight="true">
      <c r="A3" s="7" t="s">
        <v>855</v>
      </c>
      <c r="B3" s="8" t="s">
        <v>850</v>
      </c>
      <c r="C3" s="8" t="s">
        <v>856</v>
      </c>
      <c r="D3" s="8" t="s">
        <v>44</v>
      </c>
      <c r="E3" s="8" t="s">
        <v>680</v>
      </c>
      <c r="F3" s="8" t="s">
        <v>681</v>
      </c>
      <c r="G3" s="8" t="s">
        <v>857</v>
      </c>
      <c r="H3" s="8" t="s">
        <v>328</v>
      </c>
      <c r="I3" s="8" t="s">
        <v>858</v>
      </c>
      <c r="J3" s="8"/>
      <c r="K3" s="5" t="inlineStr">
        <is>
          <t xml:space="preserve">Choosing a variant changes the displayed price. The stock text and gallery do not switch to that variant's stock and image.</t>
        </is>
      </c>
      <c r="L3" s="5" t="inlineStr">
        <is>
          <t xml:space="preserve">Not Run</t>
        </is>
      </c>
      <c r="M3" s="5" t="inlineStr">
        <is>
          <t xml:space="preserve">Partial in source review; not executed. See product_detail_screen.dart, CartController.php.</t>
        </is>
      </c>
    </row>
    <row r="4" customFormat="false" hidden="false" outlineLevel="0" collapsed="false" ht="94.00" customHeight="true">
      <c r="A4" s="7" t="s">
        <v>859</v>
      </c>
      <c r="B4" s="8" t="s">
        <v>850</v>
      </c>
      <c r="C4" s="8" t="s">
        <v>860</v>
      </c>
      <c r="D4" s="8" t="s">
        <v>44</v>
      </c>
      <c r="E4" s="8" t="s">
        <v>680</v>
      </c>
      <c r="F4" s="8" t="s">
        <v>681</v>
      </c>
      <c r="G4" s="8" t="s">
        <v>861</v>
      </c>
      <c r="H4" s="8" t="s">
        <v>862</v>
      </c>
      <c r="I4" s="8" t="s">
        <v>863</v>
      </c>
      <c r="J4" s="8"/>
      <c r="K4" s="5" t="inlineStr">
        <is>
          <t xml:space="preserve">Variant chips are still selectable when their stock is zero. The server checks stock when adding the item instead of disabling the choice.</t>
        </is>
      </c>
      <c r="L4" s="5" t="inlineStr">
        <is>
          <t xml:space="preserve">Not Run</t>
        </is>
      </c>
      <c r="M4" s="5" t="inlineStr">
        <is>
          <t xml:space="preserve">Gap in source review; not executed. See product_detail_screen.dart, CartController.php.</t>
        </is>
      </c>
    </row>
    <row r="5" customFormat="false" hidden="false" outlineLevel="0" collapsed="false" ht="122.00" customHeight="true">
      <c r="A5" s="7" t="s">
        <v>864</v>
      </c>
      <c r="B5" s="8" t="s">
        <v>850</v>
      </c>
      <c r="C5" s="8" t="s">
        <v>865</v>
      </c>
      <c r="D5" s="8" t="s">
        <v>46</v>
      </c>
      <c r="E5" s="8" t="s">
        <v>680</v>
      </c>
      <c r="F5" s="8" t="s">
        <v>866</v>
      </c>
      <c r="G5" s="8" t="s">
        <v>867</v>
      </c>
      <c r="H5" s="8" t="s">
        <v>868</v>
      </c>
      <c r="I5" s="8" t="s">
        <v>869</v>
      </c>
      <c r="J5" s="8" t="s">
        <v>117</v>
      </c>
      <c r="K5" s="5" t="inlineStr">
        <is>
          <t xml:space="preserve">Quantity buttons keep the number at one or above, and the server rejects quantities beyond available stock. The page uses product stock for its upper limit rather than the selected variant's stock.</t>
        </is>
      </c>
      <c r="L5" s="5" t="inlineStr">
        <is>
          <t xml:space="preserve">Not Run</t>
        </is>
      </c>
      <c r="M5" s="5" t="inlineStr">
        <is>
          <t xml:space="preserve">Partial in source review; not executed. See product_detail_screen.dart, CartController.php.</t>
        </is>
      </c>
    </row>
    <row r="6" customFormat="false" hidden="false" outlineLevel="0" collapsed="false" ht="94.00" customHeight="true">
      <c r="A6" s="7" t="s">
        <v>870</v>
      </c>
      <c r="B6" s="8" t="s">
        <v>850</v>
      </c>
      <c r="C6" s="8" t="s">
        <v>871</v>
      </c>
      <c r="D6" s="8" t="s">
        <v>46</v>
      </c>
      <c r="E6" s="8" t="s">
        <v>680</v>
      </c>
      <c r="F6" s="8" t="s">
        <v>872</v>
      </c>
      <c r="G6" s="8" t="s">
        <v>873</v>
      </c>
      <c r="H6" s="8" t="s">
        <v>874</v>
      </c>
      <c r="I6" s="8" t="s">
        <v>875</v>
      </c>
      <c r="J6" s="8"/>
      <c r="K6" s="5" t="inlineStr">
        <is>
          <t xml:space="preserve">I couldn't find a per-buyer purchase limit that carries across previous orders. Quantity checks only compare against available stock.</t>
        </is>
      </c>
      <c r="L6" s="5" t="inlineStr">
        <is>
          <t xml:space="preserve">Not Run</t>
        </is>
      </c>
      <c r="M6" s="5" t="inlineStr">
        <is>
          <t xml:space="preserve">Missing in source review; not executed. See product_detail_screen.dart, CartController.php.</t>
        </is>
      </c>
    </row>
    <row r="7" customFormat="false" hidden="false" outlineLevel="0" collapsed="false" ht="94.00" customHeight="true">
      <c r="A7" s="7" t="s">
        <v>876</v>
      </c>
      <c r="B7" s="8" t="s">
        <v>850</v>
      </c>
      <c r="C7" s="8" t="s">
        <v>877</v>
      </c>
      <c r="D7" s="8" t="s">
        <v>44</v>
      </c>
      <c r="E7" s="8" t="s">
        <v>668</v>
      </c>
      <c r="F7" s="8" t="s">
        <v>878</v>
      </c>
      <c r="G7" s="8" t="s">
        <v>879</v>
      </c>
      <c r="H7" s="8"/>
      <c r="I7" s="8" t="s">
        <v>880</v>
      </c>
      <c r="J7" s="8" t="s">
        <v>81</v>
      </c>
      <c r="K7" s="5" t="inlineStr">
        <is>
          <t xml:space="preserve">Sale listings support comparison prices, but the detail page has no flash-sale countdown, remaining flash allocation, or voucher Claim button.</t>
        </is>
      </c>
      <c r="L7" s="5" t="inlineStr">
        <is>
          <t xml:space="preserve">Not Run</t>
        </is>
      </c>
      <c r="M7" s="5" t="inlineStr">
        <is>
          <t xml:space="preserve">Gap in source review; not executed. See product_detail_screen.dart, CartController.php.</t>
        </is>
      </c>
    </row>
    <row r="8" customFormat="false" hidden="false" outlineLevel="0" collapsed="false" ht="80.00" customHeight="true">
      <c r="A8" s="7" t="s">
        <v>881</v>
      </c>
      <c r="B8" s="8" t="s">
        <v>850</v>
      </c>
      <c r="C8" s="8" t="s">
        <v>882</v>
      </c>
      <c r="D8" s="8" t="s">
        <v>52</v>
      </c>
      <c r="E8" s="8" t="s">
        <v>668</v>
      </c>
      <c r="F8" s="8" t="s">
        <v>883</v>
      </c>
      <c r="G8" s="8" t="s">
        <v>884</v>
      </c>
      <c r="H8" s="8"/>
      <c r="I8" s="8" t="s">
        <v>885</v>
      </c>
      <c r="J8" s="8"/>
      <c r="K8" s="5" t="inlineStr">
        <is>
          <t xml:space="preserve">Buy Now adds the item to the shared cart and opens that cart. It does not start a checkout containing only the selected product.</t>
        </is>
      </c>
      <c r="L8" s="5" t="inlineStr">
        <is>
          <t xml:space="preserve">Not Run</t>
        </is>
      </c>
      <c r="M8" s="5" t="inlineStr">
        <is>
          <t xml:space="preserve">Gap in source review; not executed. See product_detail_screen.dart, CartController.php.</t>
        </is>
      </c>
    </row>
    <row r="9" customFormat="false" hidden="false" outlineLevel="0" collapsed="false" ht="94.00" customHeight="true">
      <c r="A9" s="7" t="s">
        <v>886</v>
      </c>
      <c r="B9" s="8" t="s">
        <v>850</v>
      </c>
      <c r="C9" s="8" t="s">
        <v>887</v>
      </c>
      <c r="D9" s="8" t="s">
        <v>54</v>
      </c>
      <c r="E9" s="8" t="s">
        <v>668</v>
      </c>
      <c r="F9" s="8" t="s">
        <v>681</v>
      </c>
      <c r="G9" s="8" t="s">
        <v>888</v>
      </c>
      <c r="H9" s="8"/>
      <c r="I9" s="8" t="s">
        <v>889</v>
      </c>
      <c r="J9" s="8" t="s">
        <v>222</v>
      </c>
      <c r="K9" s="5" t="inlineStr">
        <is>
          <t xml:space="preserve">A failed product lookup has a Product Not Found state, and inactive products are excluded by the API. The unavailable-link flow still needs checking in the app.</t>
        </is>
      </c>
      <c r="L9" s="5" t="inlineStr">
        <is>
          <t xml:space="preserve">Not Run</t>
        </is>
      </c>
      <c r="M9" s="5" t="inlineStr">
        <is>
          <t xml:space="preserve">Supported in source review; not executed. See product_detail_screen.dart, CartController.php.</t>
        </is>
      </c>
    </row>
    <row r="10" customFormat="false" hidden="false" outlineLevel="0" collapsed="false" ht="122.00" customHeight="true">
      <c r="A10" s="7" t="s">
        <v>890</v>
      </c>
      <c r="B10" s="8" t="s">
        <v>850</v>
      </c>
      <c r="C10" s="8" t="s">
        <v>891</v>
      </c>
      <c r="D10" s="8" t="s">
        <v>52</v>
      </c>
      <c r="E10" s="8" t="s">
        <v>755</v>
      </c>
      <c r="F10" s="8" t="s">
        <v>892</v>
      </c>
      <c r="G10" s="8" t="s">
        <v>893</v>
      </c>
      <c r="H10" s="8" t="s">
        <v>328</v>
      </c>
      <c r="I10" s="8" t="s">
        <v>894</v>
      </c>
      <c r="J10" s="8" t="s">
        <v>225</v>
      </c>
      <c r="K10" s="5" t="inlineStr">
        <is>
          <t xml:space="preserve">The product gallery supports swiping, a position indicator, and a full-screen zoom viewer. Image quality and keeping the selection after closing the viewer still need a phone check.</t>
        </is>
      </c>
      <c r="L10" s="5" t="inlineStr">
        <is>
          <t xml:space="preserve">Not Run</t>
        </is>
      </c>
      <c r="M10" s="5" t="inlineStr">
        <is>
          <t xml:space="preserve">Needs live check in source review; not executed. See product_detail_screen.dart, CartController.php.</t>
        </is>
      </c>
    </row>
    <row r="11" customFormat="false" hidden="false" outlineLevel="0" collapsed="false" ht="108.00" customHeight="true">
      <c r="A11" s="7" t="s">
        <v>895</v>
      </c>
      <c r="B11" s="8" t="s">
        <v>850</v>
      </c>
      <c r="C11" s="8" t="s">
        <v>896</v>
      </c>
      <c r="D11" s="8" t="s">
        <v>52</v>
      </c>
      <c r="E11" s="8" t="s">
        <v>668</v>
      </c>
      <c r="F11" s="8" t="s">
        <v>897</v>
      </c>
      <c r="G11" s="8" t="s">
        <v>898</v>
      </c>
      <c r="H11" s="8" t="s">
        <v>338</v>
      </c>
      <c r="I11" s="8" t="s">
        <v>899</v>
      </c>
      <c r="J11" s="8" t="s">
        <v>222</v>
      </c>
      <c r="K11" s="5" t="inlineStr">
        <is>
          <t xml:space="preserve">The product page has no share action, and no product-link handler is declared in the Android manifest. This cross-phone sharing flow is not implemented.</t>
        </is>
      </c>
      <c r="L11" s="5" t="inlineStr">
        <is>
          <t xml:space="preserve">Not Run</t>
        </is>
      </c>
      <c r="M11" s="5" t="inlineStr">
        <is>
          <t xml:space="preserve">Missing in source review; not executed. See AndroidManifest.xml, product_detail_screen.dart.</t>
        </is>
      </c>
    </row>
  </sheetData>
  <autoFilter ref="A1:M11"/>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idden="false" outlineLevel="0" collapsed="false" ht="122.00" customHeight="true">
      <c r="A2" s="7" t="s">
        <v>900</v>
      </c>
      <c r="B2" s="8" t="s">
        <v>901</v>
      </c>
      <c r="C2" s="8" t="s">
        <v>902</v>
      </c>
      <c r="D2" s="8" t="s">
        <v>52</v>
      </c>
      <c r="E2" s="8" t="s">
        <v>668</v>
      </c>
      <c r="F2" s="8" t="s">
        <v>681</v>
      </c>
      <c r="G2" s="8" t="s">
        <v>903</v>
      </c>
      <c r="H2" s="8"/>
      <c r="I2" s="8" t="s">
        <v>904</v>
      </c>
      <c r="J2" s="8"/>
      <c r="K2" s="5" t="inlineStr">
        <is>
          <t xml:space="preserve">A signed-in buyer can toggle a product in Favorites and remove it from the list. The heart is updated from the toggle response; reopening the product still needs a live check.</t>
        </is>
      </c>
      <c r="L2" s="5" t="inlineStr">
        <is>
          <t xml:space="preserve">Not Run</t>
        </is>
      </c>
      <c r="M2" s="5" t="inlineStr">
        <is>
          <t xml:space="preserve">Supported in source review; not executed. See favorites_screen.dart, seller_store_screen.dart, FavoriteController.php, StoreController.php.</t>
        </is>
      </c>
    </row>
    <row r="3" customFormat="false" hidden="false" outlineLevel="0" collapsed="false" ht="94.00" customHeight="true">
      <c r="A3" s="7" t="s">
        <v>905</v>
      </c>
      <c r="B3" s="8" t="s">
        <v>901</v>
      </c>
      <c r="C3" s="8" t="s">
        <v>906</v>
      </c>
      <c r="D3" s="8" t="s">
        <v>54</v>
      </c>
      <c r="E3" s="8" t="s">
        <v>755</v>
      </c>
      <c r="F3" s="8" t="s">
        <v>681</v>
      </c>
      <c r="G3" s="8" t="s">
        <v>907</v>
      </c>
      <c r="H3" s="8"/>
      <c r="I3" s="8" t="s">
        <v>908</v>
      </c>
      <c r="J3" s="8" t="s">
        <v>177</v>
      </c>
      <c r="K3" s="5" t="inlineStr">
        <is>
          <t xml:space="preserve">The database allows only one favorite per buyer and product. Rapid taps are not disabled, so the final heart state and any request errors still need checking.</t>
        </is>
      </c>
      <c r="L3" s="5" t="inlineStr">
        <is>
          <t xml:space="preserve">Not Run</t>
        </is>
      </c>
      <c r="M3" s="5" t="inlineStr">
        <is>
          <t xml:space="preserve">Needs live check in source review; not executed. See invoizdb.sql, FavoriteController.php.</t>
        </is>
      </c>
    </row>
    <row r="4" customFormat="false" hidden="false" outlineLevel="0" collapsed="false" ht="108.00" customHeight="true">
      <c r="A4" s="7" t="s">
        <v>909</v>
      </c>
      <c r="B4" s="8" t="s">
        <v>901</v>
      </c>
      <c r="C4" s="8" t="s">
        <v>910</v>
      </c>
      <c r="D4" s="8" t="s">
        <v>50</v>
      </c>
      <c r="E4" s="8" t="s">
        <v>668</v>
      </c>
      <c r="F4" s="8" t="s">
        <v>911</v>
      </c>
      <c r="G4" s="8" t="s">
        <v>912</v>
      </c>
      <c r="H4" s="8"/>
      <c r="I4" s="8" t="s">
        <v>913</v>
      </c>
      <c r="J4" s="8"/>
      <c r="K4" s="5" t="inlineStr">
        <is>
          <t xml:space="preserve">Favorites do not provide the described Sold Out and Unavailable placeholders. A missing product is also not handled when the list reads its saved items.</t>
        </is>
      </c>
      <c r="L4" s="5" t="inlineStr">
        <is>
          <t xml:space="preserve">Not Run</t>
        </is>
      </c>
      <c r="M4" s="5" t="inlineStr">
        <is>
          <t xml:space="preserve">Gap in source review; not executed. See favorites_screen.dart, seller_store_screen.dart, FavoriteController.php, StoreController.php.</t>
        </is>
      </c>
    </row>
    <row r="5" customFormat="false" hidden="false" outlineLevel="0" collapsed="false" ht="108.00" customHeight="true">
      <c r="A5" s="7" t="s">
        <v>914</v>
      </c>
      <c r="B5" s="8" t="s">
        <v>901</v>
      </c>
      <c r="C5" s="8" t="s">
        <v>915</v>
      </c>
      <c r="D5" s="8" t="s">
        <v>52</v>
      </c>
      <c r="E5" s="8" t="s">
        <v>668</v>
      </c>
      <c r="F5" s="8" t="s">
        <v>916</v>
      </c>
      <c r="G5" s="8" t="s">
        <v>917</v>
      </c>
      <c r="H5" s="8"/>
      <c r="I5" s="8" t="s">
        <v>918</v>
      </c>
      <c r="J5" s="8"/>
      <c r="K5" s="5" t="inlineStr">
        <is>
          <t xml:space="preserve">Follow and Unfollow update the store's follower count. There is no separate Following list in the current buyer screens.</t>
        </is>
      </c>
      <c r="L5" s="5" t="inlineStr">
        <is>
          <t xml:space="preserve">Not Run</t>
        </is>
      </c>
      <c r="M5" s="5" t="inlineStr">
        <is>
          <t xml:space="preserve">Partial in source review; not executed. See favorites_screen.dart, seller_store_screen.dart, FavoriteController.php, StoreController.php.</t>
        </is>
      </c>
    </row>
    <row r="6" customFormat="false" hidden="false" outlineLevel="0" collapsed="false" ht="108.00" customHeight="true">
      <c r="A6" s="7" t="s">
        <v>919</v>
      </c>
      <c r="B6" s="8" t="s">
        <v>901</v>
      </c>
      <c r="C6" s="8" t="s">
        <v>920</v>
      </c>
      <c r="D6" s="8" t="s">
        <v>54</v>
      </c>
      <c r="E6" s="8" t="s">
        <v>755</v>
      </c>
      <c r="F6" s="8" t="s">
        <v>921</v>
      </c>
      <c r="G6" s="8" t="s">
        <v>922</v>
      </c>
      <c r="H6" s="8"/>
      <c r="I6" s="8" t="s">
        <v>923</v>
      </c>
      <c r="J6" s="8"/>
      <c r="K6" s="5" t="inlineStr">
        <is>
          <t xml:space="preserve">Saving favorites and following a store require login in the app and authenticated API access.</t>
        </is>
      </c>
      <c r="L6" s="5" t="inlineStr">
        <is>
          <t xml:space="preserve">Not Run</t>
        </is>
      </c>
      <c r="M6" s="5" t="inlineStr">
        <is>
          <t xml:space="preserve">Supported in source review; not executed. See favorites_screen.dart, seller_store_screen.dart, FavoriteController.php, StoreController.php.</t>
        </is>
      </c>
    </row>
  </sheetData>
  <autoFilter ref="A1:M6"/>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idden="false" outlineLevel="0" collapsed="false" ht="108.00" customHeight="true">
      <c r="A2" s="7" t="s">
        <v>924</v>
      </c>
      <c r="B2" s="8" t="s">
        <v>925</v>
      </c>
      <c r="C2" s="8" t="s">
        <v>926</v>
      </c>
      <c r="D2" s="8" t="s">
        <v>44</v>
      </c>
      <c r="E2" s="8" t="s">
        <v>680</v>
      </c>
      <c r="F2" s="8" t="s">
        <v>927</v>
      </c>
      <c r="G2" s="8" t="s">
        <v>928</v>
      </c>
      <c r="H2" s="8"/>
      <c r="I2" s="8" t="s">
        <v>929</v>
      </c>
      <c r="J2" s="8"/>
      <c r="K2" s="5" t="inlineStr">
        <is>
          <t xml:space="preserve">Adding the same product and variant again increases the existing cart line's quantity. The exact subtotal depends on the product and variant prices in the test database.</t>
        </is>
      </c>
      <c r="L2" s="5" t="inlineStr">
        <is>
          <t xml:space="preserve">Not Run</t>
        </is>
      </c>
      <c r="M2" s="5" t="inlineStr">
        <is>
          <t xml:space="preserve">Supported in source review; not executed. See cart_screen.dart, checkout_screen.dart, CartController.php.</t>
        </is>
      </c>
    </row>
    <row r="3" customFormat="false" hidden="false" outlineLevel="0" collapsed="false" ht="80.00" customHeight="true">
      <c r="A3" s="7" t="s">
        <v>930</v>
      </c>
      <c r="B3" s="8" t="s">
        <v>925</v>
      </c>
      <c r="C3" s="8" t="s">
        <v>931</v>
      </c>
      <c r="D3" s="8" t="s">
        <v>44</v>
      </c>
      <c r="E3" s="8" t="s">
        <v>680</v>
      </c>
      <c r="F3" s="8" t="s">
        <v>927</v>
      </c>
      <c r="G3" s="8" t="s">
        <v>932</v>
      </c>
      <c r="H3" s="8"/>
      <c r="I3" s="8" t="s">
        <v>933</v>
      </c>
      <c r="J3" s="8"/>
      <c r="K3" s="5" t="inlineStr">
        <is>
          <t xml:space="preserve">Different variant IDs are saved as separate cart lines, each with its own price adjustment.</t>
        </is>
      </c>
      <c r="L3" s="5" t="inlineStr">
        <is>
          <t xml:space="preserve">Not Run</t>
        </is>
      </c>
      <c r="M3" s="5" t="inlineStr">
        <is>
          <t xml:space="preserve">Supported in source review; not executed. See cart_screen.dart, checkout_screen.dart, CartController.php.</t>
        </is>
      </c>
    </row>
    <row r="4" customFormat="false" hidden="false" outlineLevel="0" collapsed="false" ht="80.00" customHeight="true">
      <c r="A4" s="7" t="s">
        <v>934</v>
      </c>
      <c r="B4" s="8" t="s">
        <v>925</v>
      </c>
      <c r="C4" s="8" t="s">
        <v>935</v>
      </c>
      <c r="D4" s="8" t="s">
        <v>52</v>
      </c>
      <c r="E4" s="8" t="s">
        <v>668</v>
      </c>
      <c r="F4" s="8" t="s">
        <v>681</v>
      </c>
      <c r="G4" s="8" t="s">
        <v>936</v>
      </c>
      <c r="H4" s="8"/>
      <c r="I4" s="8" t="s">
        <v>937</v>
      </c>
      <c r="J4" s="8"/>
      <c r="K4" s="5" t="inlineStr">
        <is>
          <t xml:space="preserve">The cart shows a flat list of items. It does not group them under store headings.</t>
        </is>
      </c>
      <c r="L4" s="5" t="inlineStr">
        <is>
          <t xml:space="preserve">Not Run</t>
        </is>
      </c>
      <c r="M4" s="5" t="inlineStr">
        <is>
          <t xml:space="preserve">Missing in source review; not executed. See cart_screen.dart, checkout_screen.dart, CartController.php.</t>
        </is>
      </c>
    </row>
    <row r="5" customFormat="false" hidden="false" outlineLevel="0" collapsed="false" ht="80.00" customHeight="true">
      <c r="A5" s="7" t="s">
        <v>938</v>
      </c>
      <c r="B5" s="8" t="s">
        <v>925</v>
      </c>
      <c r="C5" s="8" t="s">
        <v>939</v>
      </c>
      <c r="D5" s="8" t="s">
        <v>48</v>
      </c>
      <c r="E5" s="8" t="s">
        <v>680</v>
      </c>
      <c r="F5" s="8" t="s">
        <v>940</v>
      </c>
      <c r="G5" s="8" t="s">
        <v>941</v>
      </c>
      <c r="H5" s="8"/>
      <c r="I5" s="8" t="s">
        <v>942</v>
      </c>
      <c r="J5" s="8"/>
      <c r="K5" s="5" t="inlineStr">
        <is>
          <t xml:space="preserve">Selecting items changes the subtotal shown in the cart. Checkout reloads the whole cart, so unselected items are included too.</t>
        </is>
      </c>
      <c r="L5" s="5" t="inlineStr">
        <is>
          <t xml:space="preserve">Not Run</t>
        </is>
      </c>
      <c r="M5" s="5" t="inlineStr">
        <is>
          <t xml:space="preserve">Gap in source review; not executed. See cart_screen.dart, checkout_screen.dart, CartController.php.</t>
        </is>
      </c>
    </row>
    <row r="6" customFormat="false" hidden="false" outlineLevel="0" collapsed="false" ht="108.00" customHeight="true">
      <c r="A6" s="7" t="s">
        <v>943</v>
      </c>
      <c r="B6" s="8" t="s">
        <v>925</v>
      </c>
      <c r="C6" s="8" t="s">
        <v>944</v>
      </c>
      <c r="D6" s="8" t="s">
        <v>46</v>
      </c>
      <c r="E6" s="8" t="s">
        <v>680</v>
      </c>
      <c r="F6" s="8" t="s">
        <v>945</v>
      </c>
      <c r="G6" s="8" t="s">
        <v>946</v>
      </c>
      <c r="H6" s="8"/>
      <c r="I6" s="8" t="s">
        <v>947</v>
      </c>
      <c r="J6" s="8" t="s">
        <v>117</v>
      </c>
      <c r="K6" s="5" t="inlineStr">
        <is>
          <t xml:space="preserve">Quantity cannot go below one through the cart buttons, and the server rejects an amount above stock. The 20-unit boundary needs a product with exactly 20 units available.</t>
        </is>
      </c>
      <c r="L6" s="5" t="inlineStr">
        <is>
          <t xml:space="preserve">Not Run</t>
        </is>
      </c>
      <c r="M6" s="5" t="inlineStr">
        <is>
          <t xml:space="preserve">Supported in source review; not executed. See cart_screen.dart, checkout_screen.dart, CartController.php.</t>
        </is>
      </c>
    </row>
    <row r="7" customFormat="false" hidden="false" outlineLevel="0" collapsed="false" ht="108.00" customHeight="true">
      <c r="A7" s="7" t="s">
        <v>948</v>
      </c>
      <c r="B7" s="8" t="s">
        <v>925</v>
      </c>
      <c r="C7" s="8" t="s">
        <v>949</v>
      </c>
      <c r="D7" s="8" t="s">
        <v>50</v>
      </c>
      <c r="E7" s="8" t="s">
        <v>680</v>
      </c>
      <c r="F7" s="8" t="s">
        <v>950</v>
      </c>
      <c r="G7" s="8" t="s">
        <v>951</v>
      </c>
      <c r="H7" s="8"/>
      <c r="I7" s="8" t="s">
        <v>952</v>
      </c>
      <c r="J7" s="8"/>
      <c r="K7" s="5" t="inlineStr">
        <is>
          <t xml:space="preserve">Cart prices are recalculated from the current product price and variant adjustment when the cart is loaded. The screen needs reloading to see a seller's price change.</t>
        </is>
      </c>
      <c r="L7" s="5" t="inlineStr">
        <is>
          <t xml:space="preserve">Not Run</t>
        </is>
      </c>
      <c r="M7" s="5" t="inlineStr">
        <is>
          <t xml:space="preserve">Supported in source review; not executed. See cart_screen.dart, checkout_screen.dart, CartController.php.</t>
        </is>
      </c>
    </row>
    <row r="8" customFormat="false" hidden="false" outlineLevel="0" collapsed="false" ht="108.00" customHeight="true">
      <c r="A8" s="7" t="s">
        <v>953</v>
      </c>
      <c r="B8" s="8" t="s">
        <v>925</v>
      </c>
      <c r="C8" s="8" t="s">
        <v>954</v>
      </c>
      <c r="D8" s="8" t="s">
        <v>50</v>
      </c>
      <c r="E8" s="8" t="s">
        <v>680</v>
      </c>
      <c r="F8" s="8" t="s">
        <v>955</v>
      </c>
      <c r="G8" s="8" t="s">
        <v>956</v>
      </c>
      <c r="H8" s="8"/>
      <c r="I8" s="8" t="s">
        <v>957</v>
      </c>
      <c r="J8" s="8"/>
      <c r="K8" s="5" t="inlineStr">
        <is>
          <t xml:space="preserve">Cart items are not disabled based on product availability. Checkout checks stock for the whole cart, and missing product records are not handled as unavailable placeholders.</t>
        </is>
      </c>
      <c r="L8" s="5" t="inlineStr">
        <is>
          <t xml:space="preserve">Not Run</t>
        </is>
      </c>
      <c r="M8" s="5" t="inlineStr">
        <is>
          <t xml:space="preserve">Gap in source review; not executed. See cart_screen.dart, checkout_screen.dart, CartController.php.</t>
        </is>
      </c>
    </row>
    <row r="9" customFormat="false" hidden="false" outlineLevel="0" collapsed="false" ht="108.00" customHeight="true">
      <c r="A9" s="7" t="s">
        <v>958</v>
      </c>
      <c r="B9" s="8" t="s">
        <v>925</v>
      </c>
      <c r="C9" s="8" t="s">
        <v>959</v>
      </c>
      <c r="D9" s="8" t="s">
        <v>50</v>
      </c>
      <c r="E9" s="8" t="s">
        <v>668</v>
      </c>
      <c r="F9" s="8" t="s">
        <v>960</v>
      </c>
      <c r="G9" s="8" t="s">
        <v>961</v>
      </c>
      <c r="H9" s="8"/>
      <c r="I9" s="8" t="s">
        <v>962</v>
      </c>
      <c r="J9" s="8"/>
      <c r="K9" s="5" t="inlineStr">
        <is>
          <t xml:space="preserve">Cart items are saved against the buyer account on the server. The same cart should load after login on another device, but that still needs a two-device test.</t>
        </is>
      </c>
      <c r="L9" s="5" t="inlineStr">
        <is>
          <t xml:space="preserve">Not Run</t>
        </is>
      </c>
      <c r="M9" s="5" t="inlineStr">
        <is>
          <t xml:space="preserve">Supported in source review; not executed. See cart_screen.dart, checkout_screen.dart, CartController.php.</t>
        </is>
      </c>
    </row>
    <row r="10" customFormat="false" hidden="false" outlineLevel="0" collapsed="false" ht="80.00" customHeight="true">
      <c r="A10" s="7" t="s">
        <v>963</v>
      </c>
      <c r="B10" s="8" t="s">
        <v>925</v>
      </c>
      <c r="C10" s="8" t="s">
        <v>964</v>
      </c>
      <c r="D10" s="8" t="s">
        <v>52</v>
      </c>
      <c r="E10" s="8" t="s">
        <v>755</v>
      </c>
      <c r="F10" s="8" t="s">
        <v>681</v>
      </c>
      <c r="G10" s="8" t="s">
        <v>965</v>
      </c>
      <c r="H10" s="8"/>
      <c r="I10" s="8" t="s">
        <v>966</v>
      </c>
      <c r="J10" s="8"/>
      <c r="K10" s="5" t="inlineStr">
        <is>
          <t xml:space="preserve">Removing an item deletes that buyer's cart line and reloads the cart so the subtotal can be recalculated.</t>
        </is>
      </c>
      <c r="L10" s="5" t="inlineStr">
        <is>
          <t xml:space="preserve">Not Run</t>
        </is>
      </c>
      <c r="M10" s="5" t="inlineStr">
        <is>
          <t xml:space="preserve">Supported in source review; not executed. See cart_screen.dart, checkout_screen.dart, CartController.php.</t>
        </is>
      </c>
    </row>
    <row r="11" customFormat="false" hidden="false" outlineLevel="0" collapsed="false" ht="80.00" customHeight="true">
      <c r="A11" s="7" t="s">
        <v>967</v>
      </c>
      <c r="B11" s="8" t="s">
        <v>925</v>
      </c>
      <c r="C11" s="8" t="s">
        <v>968</v>
      </c>
      <c r="D11" s="8" t="s">
        <v>54</v>
      </c>
      <c r="E11" s="8" t="s">
        <v>680</v>
      </c>
      <c r="F11" s="8" t="s">
        <v>681</v>
      </c>
      <c r="G11" s="8" t="s">
        <v>969</v>
      </c>
      <c r="H11" s="8"/>
      <c r="I11" s="8" t="s">
        <v>970</v>
      </c>
      <c r="J11" s="8" t="s">
        <v>778</v>
      </c>
      <c r="K11" s="5" t="inlineStr">
        <is>
          <t xml:space="preserve">Cart updates and deletions look up the item inside the signed-in buyer's cart. Another buyer's line is excluded from that lookup.</t>
        </is>
      </c>
      <c r="L11" s="5" t="inlineStr">
        <is>
          <t xml:space="preserve">Not Run</t>
        </is>
      </c>
      <c r="M11" s="5" t="inlineStr">
        <is>
          <t xml:space="preserve">Supported in source review; not executed. See cart_screen.dart, checkout_screen.dart, CartController.php.</t>
        </is>
      </c>
    </row>
    <row r="12" customFormat="false" hidden="false" outlineLevel="0" collapsed="false" ht="108.00" customHeight="true">
      <c r="A12" s="7" t="s">
        <v>971</v>
      </c>
      <c r="B12" s="8" t="s">
        <v>925</v>
      </c>
      <c r="C12" s="8" t="s">
        <v>972</v>
      </c>
      <c r="D12" s="8" t="s">
        <v>54</v>
      </c>
      <c r="E12" s="8" t="s">
        <v>668</v>
      </c>
      <c r="F12" s="8" t="s">
        <v>973</v>
      </c>
      <c r="G12" s="8" t="s">
        <v>974</v>
      </c>
      <c r="H12" s="8" t="s">
        <v>975</v>
      </c>
      <c r="I12" s="8" t="s">
        <v>976</v>
      </c>
      <c r="J12" s="8" t="s">
        <v>204</v>
      </c>
      <c r="K12" s="5" t="inlineStr">
        <is>
          <t xml:space="preserve">The displayed quantity changes only after the update succeeds and the cart reloads. A failed request shows an error; recovery after reconnecting still needs a phone check.</t>
        </is>
      </c>
      <c r="L12" s="5" t="inlineStr">
        <is>
          <t xml:space="preserve">Not Run</t>
        </is>
      </c>
      <c r="M12" s="5" t="inlineStr">
        <is>
          <t xml:space="preserve">Needs live check in source review; not executed. See cart_screen.dart, checkout_screen.dart, CartController.php.</t>
        </is>
      </c>
    </row>
    <row r="13" customFormat="false" hidden="false" outlineLevel="0" collapsed="false" ht="108.00" customHeight="true">
      <c r="A13" s="7" t="s">
        <v>977</v>
      </c>
      <c r="B13" s="8" t="s">
        <v>925</v>
      </c>
      <c r="C13" s="8" t="s">
        <v>978</v>
      </c>
      <c r="D13" s="8" t="s">
        <v>52</v>
      </c>
      <c r="E13" s="8" t="s">
        <v>755</v>
      </c>
      <c r="F13" s="8" t="s">
        <v>927</v>
      </c>
      <c r="G13" s="8" t="s">
        <v>979</v>
      </c>
      <c r="H13" s="8"/>
      <c r="I13" s="8" t="s">
        <v>980</v>
      </c>
      <c r="J13" s="8"/>
      <c r="K13" s="5" t="inlineStr">
        <is>
          <t xml:space="preserve">The bottom badge counts cart lines, not individual units. It loads when the navigation bar is created, so immediate updates after every cart change are not guaranteed.</t>
        </is>
      </c>
      <c r="L13" s="5" t="inlineStr">
        <is>
          <t xml:space="preserve">Not Run</t>
        </is>
      </c>
      <c r="M13" s="5" t="inlineStr">
        <is>
          <t xml:space="preserve">Partial in source review; not executed. See main_layout.dart.</t>
        </is>
      </c>
    </row>
  </sheetData>
  <autoFilter ref="A1:M13"/>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idden="false" outlineLevel="0" collapsed="false" ht="108.00" customHeight="true">
      <c r="A2" s="7" t="s">
        <v>981</v>
      </c>
      <c r="B2" s="8" t="s">
        <v>982</v>
      </c>
      <c r="C2" s="8" t="s">
        <v>983</v>
      </c>
      <c r="D2" s="8" t="s">
        <v>52</v>
      </c>
      <c r="E2" s="8" t="s">
        <v>680</v>
      </c>
      <c r="F2" s="8" t="s">
        <v>681</v>
      </c>
      <c r="G2" s="8" t="s">
        <v>984</v>
      </c>
      <c r="H2" s="8"/>
      <c r="I2" s="8" t="s">
        <v>985</v>
      </c>
      <c r="J2" s="8"/>
      <c r="K2" s="5" t="inlineStr">
        <is>
          <t xml:space="preserve">Vouchers are listed for selection or code entry, but there is no claimable voucher wallet or Claimed state.</t>
        </is>
      </c>
      <c r="L2" s="5" t="inlineStr">
        <is>
          <t xml:space="preserve">Not Run</t>
        </is>
      </c>
      <c r="M2" s="5" t="inlineStr">
        <is>
          <t xml:space="preserve">Missing in source review; not executed. See checkout_screen.dart, VoucherController.php, Voucher.php, OrderController.php.</t>
        </is>
      </c>
    </row>
    <row r="3" customFormat="false" hidden="false" outlineLevel="0" collapsed="false" ht="94.00" customHeight="true">
      <c r="A3" s="7" t="s">
        <v>986</v>
      </c>
      <c r="B3" s="8" t="s">
        <v>982</v>
      </c>
      <c r="C3" s="8" t="s">
        <v>987</v>
      </c>
      <c r="D3" s="8" t="s">
        <v>52</v>
      </c>
      <c r="E3" s="8" t="s">
        <v>680</v>
      </c>
      <c r="F3" s="8" t="s">
        <v>988</v>
      </c>
      <c r="G3" s="8" t="s">
        <v>989</v>
      </c>
      <c r="H3" s="8"/>
      <c r="I3" s="8" t="s">
        <v>990</v>
      </c>
      <c r="J3" s="8"/>
      <c r="K3" s="5" t="inlineStr">
        <is>
          <t xml:space="preserve">A single voucher discounts the whole cart subtotal. There is no store-specific discount group or shipping fee in this checkout.</t>
        </is>
      </c>
      <c r="L3" s="5" t="inlineStr">
        <is>
          <t xml:space="preserve">Not Run</t>
        </is>
      </c>
      <c r="M3" s="5" t="inlineStr">
        <is>
          <t xml:space="preserve">Gap in source review; not executed. See checkout_screen.dart, VoucherController.php, Voucher.php, OrderController.php.</t>
        </is>
      </c>
    </row>
    <row r="4" customFormat="false" hidden="false" outlineLevel="0" collapsed="false" ht="94.00" customHeight="true">
      <c r="A4" s="7" t="s">
        <v>991</v>
      </c>
      <c r="B4" s="8" t="s">
        <v>982</v>
      </c>
      <c r="C4" s="8" t="s">
        <v>992</v>
      </c>
      <c r="D4" s="8" t="s">
        <v>48</v>
      </c>
      <c r="E4" s="8" t="s">
        <v>680</v>
      </c>
      <c r="F4" s="8" t="s">
        <v>993</v>
      </c>
      <c r="G4" s="8" t="s">
        <v>994</v>
      </c>
      <c r="H4" s="8" t="s">
        <v>995</v>
      </c>
      <c r="I4" s="8" t="s">
        <v>996</v>
      </c>
      <c r="J4" s="8" t="s">
        <v>72</v>
      </c>
      <c r="K4" s="5" t="inlineStr">
        <is>
          <t xml:space="preserve">Checkout accepts only one voucher code. Store, platform, and shipping vouchers cannot be stacked as in the worked example.</t>
        </is>
      </c>
      <c r="L4" s="5" t="inlineStr">
        <is>
          <t xml:space="preserve">Not Run</t>
        </is>
      </c>
      <c r="M4" s="5" t="inlineStr">
        <is>
          <t xml:space="preserve">Gap in source review; not executed. See checkout_screen.dart, VoucherController.php, Voucher.php, OrderController.php.</t>
        </is>
      </c>
    </row>
    <row r="5" customFormat="false" hidden="false" outlineLevel="0" collapsed="false" ht="108.00" customHeight="true">
      <c r="A5" s="7" t="s">
        <v>997</v>
      </c>
      <c r="B5" s="8" t="s">
        <v>982</v>
      </c>
      <c r="C5" s="8" t="s">
        <v>998</v>
      </c>
      <c r="D5" s="8" t="s">
        <v>46</v>
      </c>
      <c r="E5" s="8" t="s">
        <v>680</v>
      </c>
      <c r="F5" s="8" t="s">
        <v>999</v>
      </c>
      <c r="G5" s="8" t="s">
        <v>1000</v>
      </c>
      <c r="H5" s="8" t="s">
        <v>1001</v>
      </c>
      <c r="I5" s="8" t="s">
        <v>1002</v>
      </c>
      <c r="J5" s="8"/>
      <c r="K5" s="5" t="inlineStr">
        <is>
          <t xml:space="preserve">Voucher validation rejects a subtotal below the minimum and accepts it at the minimum. The message states the required spend rather than calculating Spend ₱0.01 More.</t>
        </is>
      </c>
      <c r="L5" s="5" t="inlineStr">
        <is>
          <t xml:space="preserve">Not Run</t>
        </is>
      </c>
      <c r="M5" s="5" t="inlineStr">
        <is>
          <t xml:space="preserve">Partial in source review; not executed. See checkout_screen.dart, VoucherController.php, Voucher.php, OrderController.php.</t>
        </is>
      </c>
    </row>
    <row r="6" customFormat="false" hidden="false" outlineLevel="0" collapsed="false" ht="108.00" customHeight="true">
      <c r="A6" s="7" t="s">
        <v>1003</v>
      </c>
      <c r="B6" s="8" t="s">
        <v>982</v>
      </c>
      <c r="C6" s="8" t="s">
        <v>1004</v>
      </c>
      <c r="D6" s="8" t="s">
        <v>44</v>
      </c>
      <c r="E6" s="8" t="s">
        <v>680</v>
      </c>
      <c r="F6" s="8" t="s">
        <v>681</v>
      </c>
      <c r="G6" s="8" t="s">
        <v>1005</v>
      </c>
      <c r="H6" s="8" t="s">
        <v>1006</v>
      </c>
      <c r="I6" s="8" t="s">
        <v>1007</v>
      </c>
      <c r="J6" s="8"/>
      <c r="K6" s="5" t="inlineStr">
        <is>
          <t xml:space="preserve">Expired, future, exhausted, and unknown codes are rejected. They share an Invalid or Expired Voucher message instead of separate explanations.</t>
        </is>
      </c>
      <c r="L6" s="5" t="inlineStr">
        <is>
          <t xml:space="preserve">Not Run</t>
        </is>
      </c>
      <c r="M6" s="5" t="inlineStr">
        <is>
          <t xml:space="preserve">Partial in source review; not executed. See checkout_screen.dart, VoucherController.php, Voucher.php, OrderController.php.</t>
        </is>
      </c>
    </row>
    <row r="7" customFormat="false" hidden="false" outlineLevel="0" collapsed="false" ht="108.00" customHeight="true">
      <c r="A7" s="7" t="s">
        <v>1008</v>
      </c>
      <c r="B7" s="8" t="s">
        <v>982</v>
      </c>
      <c r="C7" s="8" t="s">
        <v>1009</v>
      </c>
      <c r="D7" s="8" t="s">
        <v>44</v>
      </c>
      <c r="E7" s="8" t="s">
        <v>668</v>
      </c>
      <c r="F7" s="8" t="s">
        <v>1010</v>
      </c>
      <c r="G7" s="8" t="s">
        <v>1011</v>
      </c>
      <c r="H7" s="8"/>
      <c r="I7" s="8" t="s">
        <v>1012</v>
      </c>
      <c r="J7" s="8"/>
      <c r="K7" s="5" t="inlineStr">
        <is>
          <t xml:space="preserve">Voucher usage is tracked globally, without a per-buyer redemption limit. The Already Used rule in this case is not implemented.</t>
        </is>
      </c>
      <c r="L7" s="5" t="inlineStr">
        <is>
          <t xml:space="preserve">Not Run</t>
        </is>
      </c>
      <c r="M7" s="5" t="inlineStr">
        <is>
          <t xml:space="preserve">Missing in source review; not executed. See checkout_screen.dart, VoucherController.php, Voucher.php, OrderController.php.</t>
        </is>
      </c>
    </row>
    <row r="8" customFormat="false" hidden="false" outlineLevel="0" collapsed="false" ht="108.00" customHeight="true">
      <c r="A8" s="7" t="s">
        <v>1013</v>
      </c>
      <c r="B8" s="8" t="s">
        <v>982</v>
      </c>
      <c r="C8" s="8" t="s">
        <v>1014</v>
      </c>
      <c r="D8" s="8" t="s">
        <v>50</v>
      </c>
      <c r="E8" s="8" t="s">
        <v>680</v>
      </c>
      <c r="F8" s="8" t="s">
        <v>1015</v>
      </c>
      <c r="G8" s="8" t="s">
        <v>1016</v>
      </c>
      <c r="H8" s="8"/>
      <c r="I8" s="8" t="s">
        <v>1017</v>
      </c>
      <c r="J8" s="8"/>
      <c r="K8" s="5" t="inlineStr">
        <is>
          <t xml:space="preserve">Checkout rechecks the voucher against the current subtotal before placing an order. There is no automatic removal notice when the cart falls below the minimum.</t>
        </is>
      </c>
      <c r="L8" s="5" t="inlineStr">
        <is>
          <t xml:space="preserve">Not Run</t>
        </is>
      </c>
      <c r="M8" s="5" t="inlineStr">
        <is>
          <t xml:space="preserve">Partial in source review; not executed. See checkout_screen.dart, VoucherController.php, Voucher.php, OrderController.php.</t>
        </is>
      </c>
    </row>
    <row r="9" customFormat="false" hidden="false" outlineLevel="0" collapsed="false" ht="122.00" customHeight="true">
      <c r="A9" s="7" t="s">
        <v>1018</v>
      </c>
      <c r="B9" s="8" t="s">
        <v>982</v>
      </c>
      <c r="C9" s="8" t="s">
        <v>1019</v>
      </c>
      <c r="D9" s="8" t="s">
        <v>46</v>
      </c>
      <c r="E9" s="8" t="s">
        <v>680</v>
      </c>
      <c r="F9" s="8" t="s">
        <v>1020</v>
      </c>
      <c r="G9" s="8" t="s">
        <v>1021</v>
      </c>
      <c r="H9" s="8" t="s">
        <v>1022</v>
      </c>
      <c r="I9" s="8" t="s">
        <v>1023</v>
      </c>
      <c r="J9" s="8"/>
      <c r="K9" s="5" t="inlineStr">
        <is>
          <t xml:space="preserve">Percentage discounts use the voucher's maximum discount and are rounded to two decimal places. The stated amounts need matching voucher and product records to verify live.</t>
        </is>
      </c>
      <c r="L9" s="5" t="inlineStr">
        <is>
          <t xml:space="preserve">Not Run</t>
        </is>
      </c>
      <c r="M9" s="5" t="inlineStr">
        <is>
          <t xml:space="preserve">Supported in source review; not executed. See checkout_screen.dart, VoucherController.php, Voucher.php, OrderController.php.</t>
        </is>
      </c>
    </row>
    <row r="10" customFormat="false" hidden="false" outlineLevel="0" collapsed="false" ht="108.00" customHeight="true">
      <c r="A10" s="7" t="s">
        <v>1024</v>
      </c>
      <c r="B10" s="8" t="s">
        <v>982</v>
      </c>
      <c r="C10" s="8" t="s">
        <v>1025</v>
      </c>
      <c r="D10" s="8" t="s">
        <v>46</v>
      </c>
      <c r="E10" s="8" t="s">
        <v>668</v>
      </c>
      <c r="F10" s="8" t="s">
        <v>1026</v>
      </c>
      <c r="G10" s="8" t="s">
        <v>1027</v>
      </c>
      <c r="H10" s="8"/>
      <c r="I10" s="8" t="s">
        <v>1028</v>
      </c>
      <c r="J10" s="8"/>
      <c r="K10" s="5" t="inlineStr">
        <is>
          <t xml:space="preserve">There is no separate shipping charge or shipping-voucher type in the current checkout. A code named FREESHIP does not by itself add that feature.</t>
        </is>
      </c>
      <c r="L10" s="5" t="inlineStr">
        <is>
          <t xml:space="preserve">Not Run</t>
        </is>
      </c>
      <c r="M10" s="5" t="inlineStr">
        <is>
          <t xml:space="preserve">Missing in source review; not executed. See checkout_screen.dart, VoucherController.php, Voucher.php, OrderController.php.</t>
        </is>
      </c>
    </row>
    <row r="11" customFormat="false" hidden="false" outlineLevel="0" collapsed="false" ht="108.00" customHeight="true">
      <c r="A11" s="7" t="s">
        <v>1029</v>
      </c>
      <c r="B11" s="8" t="s">
        <v>982</v>
      </c>
      <c r="C11" s="8" t="s">
        <v>1030</v>
      </c>
      <c r="D11" s="8" t="s">
        <v>54</v>
      </c>
      <c r="E11" s="8" t="s">
        <v>668</v>
      </c>
      <c r="F11" s="8" t="s">
        <v>1031</v>
      </c>
      <c r="G11" s="8" t="s">
        <v>1032</v>
      </c>
      <c r="H11" s="8"/>
      <c r="I11" s="8" t="s">
        <v>1033</v>
      </c>
      <c r="J11" s="8"/>
      <c r="K11" s="5" t="inlineStr">
        <is>
          <t xml:space="preserve">The server caps a discount at the cart subtotal so the merchandise total cannot go below zero. Separate shipping charges are not implemented.</t>
        </is>
      </c>
      <c r="L11" s="5" t="inlineStr">
        <is>
          <t xml:space="preserve">Not Run</t>
        </is>
      </c>
      <c r="M11" s="5" t="inlineStr">
        <is>
          <t xml:space="preserve">Partial in source review; not executed. See checkout_screen.dart, VoucherController.php, Voucher.php, OrderController.php.</t>
        </is>
      </c>
    </row>
    <row r="12" customFormat="false" hidden="false" outlineLevel="0" collapsed="false" ht="108.00" customHeight="true">
      <c r="A12" s="7" t="s">
        <v>1034</v>
      </c>
      <c r="B12" s="8" t="s">
        <v>982</v>
      </c>
      <c r="C12" s="8" t="s">
        <v>1035</v>
      </c>
      <c r="D12" s="8" t="s">
        <v>48</v>
      </c>
      <c r="E12" s="8" t="s">
        <v>668</v>
      </c>
      <c r="F12" s="8" t="s">
        <v>1036</v>
      </c>
      <c r="G12" s="8" t="s">
        <v>1037</v>
      </c>
      <c r="H12" s="8"/>
      <c r="I12" s="8" t="s">
        <v>1038</v>
      </c>
      <c r="J12" s="8" t="s">
        <v>78</v>
      </c>
      <c r="K12" s="5" t="inlineStr">
        <is>
          <t xml:space="preserve">Vouchers are calculated from the current selling price rather than the comparison price. The workbook's extra shipping charge is not part of Invoiz's total.</t>
        </is>
      </c>
      <c r="L12" s="5" t="inlineStr">
        <is>
          <t xml:space="preserve">Not Run</t>
        </is>
      </c>
      <c r="M12" s="5" t="inlineStr">
        <is>
          <t xml:space="preserve">Partial in source review; not executed. See checkout_screen.dart, VoucherController.php, Voucher.php, OrderController.php.</t>
        </is>
      </c>
    </row>
    <row r="13" customFormat="false" hidden="false" outlineLevel="0" collapsed="false" ht="94.00" customHeight="true">
      <c r="A13" s="7" t="s">
        <v>1039</v>
      </c>
      <c r="B13" s="8" t="s">
        <v>982</v>
      </c>
      <c r="C13" s="8" t="s">
        <v>1040</v>
      </c>
      <c r="D13" s="8" t="s">
        <v>50</v>
      </c>
      <c r="E13" s="8" t="s">
        <v>668</v>
      </c>
      <c r="F13" s="8" t="s">
        <v>1041</v>
      </c>
      <c r="G13" s="8" t="s">
        <v>1042</v>
      </c>
      <c r="H13" s="8"/>
      <c r="I13" s="8" t="s">
        <v>1043</v>
      </c>
      <c r="J13" s="8" t="s">
        <v>129</v>
      </c>
      <c r="K13" s="5" t="inlineStr">
        <is>
          <t xml:space="preserve">Cancellation does not return a voucher or reduce its used count. There is also no buyer voucher wallet to restore it to.</t>
        </is>
      </c>
      <c r="L13" s="5" t="inlineStr">
        <is>
          <t xml:space="preserve">Not Run</t>
        </is>
      </c>
      <c r="M13" s="5" t="inlineStr">
        <is>
          <t xml:space="preserve">Gap in source review; not executed. See checkout_screen.dart, VoucherController.php, Voucher.php, OrderController.php.</t>
        </is>
      </c>
    </row>
  </sheetData>
  <autoFilter ref="A1:M13"/>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idden="false" outlineLevel="0" collapsed="false" ht="122.00" customHeight="true">
      <c r="A2" s="7" t="s">
        <v>1044</v>
      </c>
      <c r="B2" s="8" t="s">
        <v>1045</v>
      </c>
      <c r="C2" s="8" t="s">
        <v>1046</v>
      </c>
      <c r="D2" s="8" t="s">
        <v>52</v>
      </c>
      <c r="E2" s="8" t="s">
        <v>680</v>
      </c>
      <c r="F2" s="8" t="s">
        <v>993</v>
      </c>
      <c r="G2" s="8" t="s">
        <v>1047</v>
      </c>
      <c r="H2" s="8" t="s">
        <v>995</v>
      </c>
      <c r="I2" s="8" t="s">
        <v>1048</v>
      </c>
      <c r="J2" s="8" t="s">
        <v>1049</v>
      </c>
      <c r="K2" s="5" t="inlineStr">
        <is>
          <t xml:space="preserve">Invoiz creates one order for the whole cart and accepts one voucher. It does not split orders by store or include the shipping charges and stacked discounts in this example.</t>
        </is>
      </c>
      <c r="L2" s="5" t="inlineStr">
        <is>
          <t xml:space="preserve">Not Run</t>
        </is>
      </c>
      <c r="M2" s="5" t="inlineStr">
        <is>
          <t xml:space="preserve">Gap in source review; not executed. See checkout_screen.dart, OrderController.php.</t>
        </is>
      </c>
    </row>
    <row r="3" customFormat="false" hidden="false" outlineLevel="0" collapsed="false" ht="80.00" customHeight="true">
      <c r="A3" s="7" t="s">
        <v>1050</v>
      </c>
      <c r="B3" s="8" t="s">
        <v>1045</v>
      </c>
      <c r="C3" s="8" t="s">
        <v>1051</v>
      </c>
      <c r="D3" s="8" t="s">
        <v>44</v>
      </c>
      <c r="E3" s="8" t="s">
        <v>680</v>
      </c>
      <c r="F3" s="8" t="s">
        <v>681</v>
      </c>
      <c r="G3" s="8" t="s">
        <v>1052</v>
      </c>
      <c r="H3" s="8"/>
      <c r="I3" s="8" t="s">
        <v>1053</v>
      </c>
      <c r="J3" s="8" t="s">
        <v>126</v>
      </c>
      <c r="K3" s="5" t="inlineStr">
        <is>
          <t xml:space="preserve">Changing the selected address does not calculate a shipping fee. The current total is the cart subtotal minus one voucher discount.</t>
        </is>
      </c>
      <c r="L3" s="5" t="inlineStr">
        <is>
          <t xml:space="preserve">Not Run</t>
        </is>
      </c>
      <c r="M3" s="5" t="inlineStr">
        <is>
          <t xml:space="preserve">Missing in source review; not executed. See checkout_screen.dart, OrderController.php.</t>
        </is>
      </c>
    </row>
    <row r="4" customFormat="false" hidden="false" outlineLevel="0" collapsed="false" ht="80.00" customHeight="true">
      <c r="A4" s="7" t="s">
        <v>1054</v>
      </c>
      <c r="B4" s="8" t="s">
        <v>1045</v>
      </c>
      <c r="C4" s="8" t="s">
        <v>1055</v>
      </c>
      <c r="D4" s="8" t="s">
        <v>46</v>
      </c>
      <c r="E4" s="8" t="s">
        <v>668</v>
      </c>
      <c r="F4" s="8" t="s">
        <v>1056</v>
      </c>
      <c r="G4" s="8" t="s">
        <v>1057</v>
      </c>
      <c r="H4" s="8" t="s">
        <v>1058</v>
      </c>
      <c r="I4" s="8" t="s">
        <v>1059</v>
      </c>
      <c r="J4" s="8" t="s">
        <v>126</v>
      </c>
      <c r="K4" s="5" t="inlineStr">
        <is>
          <t xml:space="preserve">I couldn't find weight-based shipping calculations in checkout. The one-kilogram boundary is not applied.</t>
        </is>
      </c>
      <c r="L4" s="5" t="inlineStr">
        <is>
          <t xml:space="preserve">Not Run</t>
        </is>
      </c>
      <c r="M4" s="5" t="inlineStr">
        <is>
          <t xml:space="preserve">Missing in source review; not executed. See checkout_screen.dart, OrderController.php.</t>
        </is>
      </c>
    </row>
    <row r="5" customFormat="false" hidden="false" outlineLevel="0" collapsed="false" ht="80.00" customHeight="true">
      <c r="A5" s="7" t="s">
        <v>1060</v>
      </c>
      <c r="B5" s="8" t="s">
        <v>1045</v>
      </c>
      <c r="C5" s="8" t="s">
        <v>1061</v>
      </c>
      <c r="D5" s="8" t="s">
        <v>44</v>
      </c>
      <c r="E5" s="8" t="s">
        <v>680</v>
      </c>
      <c r="F5" s="8" t="s">
        <v>681</v>
      </c>
      <c r="G5" s="8" t="s">
        <v>1062</v>
      </c>
      <c r="H5" s="8"/>
      <c r="I5" s="8" t="s">
        <v>1063</v>
      </c>
      <c r="J5" s="8"/>
      <c r="K5" s="5" t="inlineStr">
        <is>
          <t xml:space="preserve">Checkout checks that the address belongs to the buyer, but it does not check whether a delivery area is serviceable.</t>
        </is>
      </c>
      <c r="L5" s="5" t="inlineStr">
        <is>
          <t xml:space="preserve">Not Run</t>
        </is>
      </c>
      <c r="M5" s="5" t="inlineStr">
        <is>
          <t xml:space="preserve">Missing in source review; not executed. See checkout_screen.dart, OrderController.php.</t>
        </is>
      </c>
    </row>
    <row r="6" customFormat="false" hidden="false" outlineLevel="0" collapsed="false" ht="94.00" customHeight="true">
      <c r="A6" s="7" t="s">
        <v>1064</v>
      </c>
      <c r="B6" s="8" t="s">
        <v>1045</v>
      </c>
      <c r="C6" s="8" t="s">
        <v>1065</v>
      </c>
      <c r="D6" s="8" t="s">
        <v>46</v>
      </c>
      <c r="E6" s="8" t="s">
        <v>755</v>
      </c>
      <c r="F6" s="8" t="s">
        <v>681</v>
      </c>
      <c r="G6" s="8" t="s">
        <v>1066</v>
      </c>
      <c r="H6" s="8" t="s">
        <v>1067</v>
      </c>
      <c r="I6" s="8" t="s">
        <v>1068</v>
      </c>
      <c r="J6" s="8" t="s">
        <v>141</v>
      </c>
      <c r="K6" s="5" t="inlineStr">
        <is>
          <t xml:space="preserve">The buyer checkout has no Note to Seller field. The API allows notes up to 1,000 characters rather than the workbook's 200-character rule.</t>
        </is>
      </c>
      <c r="L6" s="5" t="inlineStr">
        <is>
          <t xml:space="preserve">Not Run</t>
        </is>
      </c>
      <c r="M6" s="5" t="inlineStr">
        <is>
          <t xml:space="preserve">Gap in source review; not executed. See checkout_screen.dart, OrderController.php.</t>
        </is>
      </c>
    </row>
    <row r="7" customFormat="false" hidden="false" outlineLevel="0" collapsed="false" ht="108.00" customHeight="true">
      <c r="A7" s="7" t="s">
        <v>1069</v>
      </c>
      <c r="B7" s="8" t="s">
        <v>1045</v>
      </c>
      <c r="C7" s="8" t="s">
        <v>1070</v>
      </c>
      <c r="D7" s="8" t="s">
        <v>44</v>
      </c>
      <c r="E7" s="8" t="s">
        <v>668</v>
      </c>
      <c r="F7" s="8" t="s">
        <v>681</v>
      </c>
      <c r="G7" s="8" t="s">
        <v>1071</v>
      </c>
      <c r="H7" s="8"/>
      <c r="I7" s="8" t="s">
        <v>1072</v>
      </c>
      <c r="J7" s="8"/>
      <c r="K7" s="5" t="inlineStr">
        <is>
          <t xml:space="preserve">COD is selected by default, so the buyer cannot leave the payment method blank through this screen. A direct request without a method is rejected by the server.</t>
        </is>
      </c>
      <c r="L7" s="5" t="inlineStr">
        <is>
          <t xml:space="preserve">Not Run</t>
        </is>
      </c>
      <c r="M7" s="5" t="inlineStr">
        <is>
          <t xml:space="preserve">Partial in source review; not executed. See checkout_screen.dart, OrderController.php.</t>
        </is>
      </c>
    </row>
    <row r="8" customFormat="false" hidden="false" outlineLevel="0" collapsed="false" ht="122.00" customHeight="true">
      <c r="A8" s="7" t="s">
        <v>1073</v>
      </c>
      <c r="B8" s="8" t="s">
        <v>1045</v>
      </c>
      <c r="C8" s="8" t="s">
        <v>1074</v>
      </c>
      <c r="D8" s="8" t="s">
        <v>54</v>
      </c>
      <c r="E8" s="8" t="s">
        <v>680</v>
      </c>
      <c r="F8" s="8" t="s">
        <v>866</v>
      </c>
      <c r="G8" s="8" t="s">
        <v>1075</v>
      </c>
      <c r="H8" s="8"/>
      <c r="I8" s="8" t="s">
        <v>1076</v>
      </c>
      <c r="J8" s="8" t="s">
        <v>177</v>
      </c>
      <c r="K8" s="5" t="inlineStr">
        <is>
          <t xml:space="preserve">Place Order is disabled while a request runs, and a successful checkout clears the cart. There is no server request key to guarantee the same order under simultaneous duplicate requests.</t>
        </is>
      </c>
      <c r="L8" s="5" t="inlineStr">
        <is>
          <t xml:space="preserve">Not Run</t>
        </is>
      </c>
      <c r="M8" s="5" t="inlineStr">
        <is>
          <t xml:space="preserve">Needs live check in source review; not executed. See checkout_screen.dart, OrderController.php.</t>
        </is>
      </c>
    </row>
    <row r="9" customFormat="false" hidden="false" outlineLevel="0" collapsed="false" ht="108.00" customHeight="true">
      <c r="A9" s="7" t="s">
        <v>1077</v>
      </c>
      <c r="B9" s="8" t="s">
        <v>1045</v>
      </c>
      <c r="C9" s="8" t="s">
        <v>1078</v>
      </c>
      <c r="D9" s="8" t="s">
        <v>54</v>
      </c>
      <c r="E9" s="8" t="s">
        <v>680</v>
      </c>
      <c r="F9" s="8" t="s">
        <v>1079</v>
      </c>
      <c r="G9" s="8" t="s">
        <v>1080</v>
      </c>
      <c r="H9" s="8"/>
      <c r="I9" s="8" t="s">
        <v>1081</v>
      </c>
      <c r="J9" s="8"/>
      <c r="K9" s="5" t="inlineStr">
        <is>
          <t xml:space="preserve">Checkout recalculates the latest price on the server but does not ask the buyer to confirm a price change. The saved total can therefore differ from the earlier displayed summary.</t>
        </is>
      </c>
      <c r="L9" s="5" t="inlineStr">
        <is>
          <t xml:space="preserve">Not Run</t>
        </is>
      </c>
      <c r="M9" s="5" t="inlineStr">
        <is>
          <t xml:space="preserve">Gap in source review; not executed. See checkout_screen.dart, OrderController.php.</t>
        </is>
      </c>
    </row>
    <row r="10" customFormat="false" hidden="false" outlineLevel="0" collapsed="false" ht="108.00" customHeight="true">
      <c r="A10" s="7" t="s">
        <v>1082</v>
      </c>
      <c r="B10" s="8" t="s">
        <v>1045</v>
      </c>
      <c r="C10" s="8" t="s">
        <v>1083</v>
      </c>
      <c r="D10" s="8" t="s">
        <v>54</v>
      </c>
      <c r="E10" s="8" t="s">
        <v>680</v>
      </c>
      <c r="F10" s="8" t="s">
        <v>1084</v>
      </c>
      <c r="G10" s="8" t="s">
        <v>1085</v>
      </c>
      <c r="H10" s="8"/>
      <c r="I10" s="8" t="s">
        <v>1086</v>
      </c>
      <c r="J10" s="8" t="s">
        <v>75</v>
      </c>
      <c r="K10" s="5" t="inlineStr">
        <is>
          <t xml:space="preserve">Stock is checked again before the order is saved. The check happens outside the transaction without a stock lock, so simultaneous purchases still need testing.</t>
        </is>
      </c>
      <c r="L10" s="5" t="inlineStr">
        <is>
          <t xml:space="preserve">Not Run</t>
        </is>
      </c>
      <c r="M10" s="5" t="inlineStr">
        <is>
          <t xml:space="preserve">Partial in source review; not executed. See checkout_screen.dart, OrderController.php.</t>
        </is>
      </c>
    </row>
    <row r="11" customFormat="false" hidden="false" outlineLevel="0" collapsed="false" ht="108.00" customHeight="true">
      <c r="A11" s="7" t="s">
        <v>1087</v>
      </c>
      <c r="B11" s="8" t="s">
        <v>1045</v>
      </c>
      <c r="C11" s="8" t="s">
        <v>1088</v>
      </c>
      <c r="D11" s="8" t="s">
        <v>54</v>
      </c>
      <c r="E11" s="8" t="s">
        <v>668</v>
      </c>
      <c r="F11" s="8" t="s">
        <v>1089</v>
      </c>
      <c r="G11" s="8" t="s">
        <v>1090</v>
      </c>
      <c r="H11" s="8"/>
      <c r="I11" s="8" t="s">
        <v>1091</v>
      </c>
      <c r="J11" s="8" t="s">
        <v>147</v>
      </c>
      <c r="K11" s="5" t="inlineStr">
        <is>
          <t xml:space="preserve">The server rejects a voucher that is no longer active and shows an error. The app does not automatically remove it and refresh the displayed total.</t>
        </is>
      </c>
      <c r="L11" s="5" t="inlineStr">
        <is>
          <t xml:space="preserve">Not Run</t>
        </is>
      </c>
      <c r="M11" s="5" t="inlineStr">
        <is>
          <t xml:space="preserve">Partial in source review; not executed. See checkout_screen.dart, OrderController.php.</t>
        </is>
      </c>
    </row>
    <row r="12" customFormat="false" hidden="false" outlineLevel="0" collapsed="false" ht="94.00" customHeight="true">
      <c r="A12" s="7" t="s">
        <v>1092</v>
      </c>
      <c r="B12" s="8" t="s">
        <v>1045</v>
      </c>
      <c r="C12" s="8" t="s">
        <v>1093</v>
      </c>
      <c r="D12" s="8" t="s">
        <v>54</v>
      </c>
      <c r="E12" s="8" t="s">
        <v>680</v>
      </c>
      <c r="F12" s="8" t="s">
        <v>681</v>
      </c>
      <c r="G12" s="8" t="s">
        <v>1094</v>
      </c>
      <c r="H12" s="8"/>
      <c r="I12" s="8" t="s">
        <v>1095</v>
      </c>
      <c r="J12" s="8" t="s">
        <v>778</v>
      </c>
      <c r="K12" s="5" t="inlineStr">
        <is>
          <t xml:space="preserve">Checkout builds prices and totals from server-side product records. A submitted replacement total is not used in that calculation.</t>
        </is>
      </c>
      <c r="L12" s="5" t="inlineStr">
        <is>
          <t xml:space="preserve">Not Run</t>
        </is>
      </c>
      <c r="M12" s="5" t="inlineStr">
        <is>
          <t xml:space="preserve">Supported in source review; not executed. See checkout_screen.dart, OrderController.php.</t>
        </is>
      </c>
    </row>
    <row r="13" customFormat="false" hidden="false" outlineLevel="0" collapsed="false" ht="122.00" customHeight="true">
      <c r="A13" s="7" t="s">
        <v>1096</v>
      </c>
      <c r="B13" s="8" t="s">
        <v>1045</v>
      </c>
      <c r="C13" s="8" t="s">
        <v>1097</v>
      </c>
      <c r="D13" s="8" t="s">
        <v>54</v>
      </c>
      <c r="E13" s="8" t="s">
        <v>680</v>
      </c>
      <c r="F13" s="8" t="s">
        <v>1098</v>
      </c>
      <c r="G13" s="8" t="s">
        <v>1099</v>
      </c>
      <c r="H13" s="8" t="s">
        <v>1100</v>
      </c>
      <c r="I13" s="8" t="s">
        <v>1101</v>
      </c>
      <c r="J13" s="8" t="s">
        <v>1102</v>
      </c>
      <c r="K13" s="5" t="inlineStr">
        <is>
          <t xml:space="preserve">Connection errors are shown, but checkout does not look up a possibly saved order after a lost response. A dropped connection needs testing to confirm the order and stock change happen only once.</t>
        </is>
      </c>
      <c r="L13" s="5" t="inlineStr">
        <is>
          <t xml:space="preserve">Not Run</t>
        </is>
      </c>
      <c r="M13" s="5" t="inlineStr">
        <is>
          <t xml:space="preserve">Needs live check in source review; not executed. See checkout_screen.dart, OrderController.php.</t>
        </is>
      </c>
    </row>
    <row r="14" customFormat="false" hidden="false" outlineLevel="0" collapsed="false" ht="108.00" customHeight="true">
      <c r="A14" s="7" t="s">
        <v>1103</v>
      </c>
      <c r="B14" s="8" t="s">
        <v>1045</v>
      </c>
      <c r="C14" s="8" t="s">
        <v>1104</v>
      </c>
      <c r="D14" s="8" t="s">
        <v>54</v>
      </c>
      <c r="E14" s="8" t="s">
        <v>668</v>
      </c>
      <c r="F14" s="8" t="s">
        <v>1105</v>
      </c>
      <c r="G14" s="8" t="s">
        <v>1106</v>
      </c>
      <c r="H14" s="8" t="s">
        <v>995</v>
      </c>
      <c r="I14" s="8" t="s">
        <v>1107</v>
      </c>
      <c r="J14" s="8" t="s">
        <v>201</v>
      </c>
      <c r="K14" s="5" t="inlineStr">
        <is>
          <t xml:space="preserve">Address, voucher, and COD selections stay in screen state while checkout remains open. Calls, app switching, and recovery after the phone closes the app need a device test.</t>
        </is>
      </c>
      <c r="L14" s="5" t="inlineStr">
        <is>
          <t xml:space="preserve">Not Run</t>
        </is>
      </c>
      <c r="M14" s="5" t="inlineStr">
        <is>
          <t xml:space="preserve">Device check in source review; not executed. See checkout_screen.dart, OrderController.php.</t>
        </is>
      </c>
    </row>
  </sheetData>
  <autoFilter ref="A1:M14"/>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idden="false" outlineLevel="0" collapsed="false" ht="108.00" customHeight="true">
      <c r="A2" s="7" t="s">
        <v>1108</v>
      </c>
      <c r="B2" s="8" t="s">
        <v>1109</v>
      </c>
      <c r="C2" s="8" t="s">
        <v>1110</v>
      </c>
      <c r="D2" s="8" t="s">
        <v>52</v>
      </c>
      <c r="E2" s="8" t="s">
        <v>680</v>
      </c>
      <c r="F2" s="8" t="s">
        <v>681</v>
      </c>
      <c r="G2" s="8" t="s">
        <v>1111</v>
      </c>
      <c r="H2" s="8"/>
      <c r="I2" s="8" t="s">
        <v>1112</v>
      </c>
      <c r="J2" s="8"/>
      <c r="K2" s="5" t="inlineStr">
        <is>
          <t xml:space="preserve">A COD checkout creates a pending order shown under To Ship, with payment still pending. The stated ₱500 total is not reproduced automatically because this app adds no shipping fee.</t>
        </is>
      </c>
      <c r="L2" s="5" t="inlineStr">
        <is>
          <t xml:space="preserve">Not Run</t>
        </is>
      </c>
      <c r="M2" s="5" t="inlineStr">
        <is>
          <t xml:space="preserve">Partial in source review; not executed. See checkout_screen.dart, OrderController.php, api.php.</t>
        </is>
      </c>
    </row>
    <row r="3" customFormat="false" hidden="false" outlineLevel="0" collapsed="false" ht="94.00" customHeight="true">
      <c r="A3" s="7" t="s">
        <v>1113</v>
      </c>
      <c r="B3" s="8" t="s">
        <v>1109</v>
      </c>
      <c r="C3" s="8" t="s">
        <v>1114</v>
      </c>
      <c r="D3" s="8" t="s">
        <v>52</v>
      </c>
      <c r="E3" s="8" t="s">
        <v>680</v>
      </c>
      <c r="F3" s="8" t="s">
        <v>681</v>
      </c>
      <c r="G3" s="8" t="s">
        <v>1115</v>
      </c>
      <c r="H3" s="8" t="s">
        <v>1116</v>
      </c>
      <c r="I3" s="8" t="s">
        <v>1117</v>
      </c>
      <c r="J3" s="8"/>
      <c r="K3" s="5" t="inlineStr">
        <is>
          <t xml:space="preserve">Checkout only supports Cash on Delivery. There is no e-wallet or card gateway flow to test.</t>
        </is>
      </c>
      <c r="L3" s="5" t="inlineStr">
        <is>
          <t xml:space="preserve">Not Run</t>
        </is>
      </c>
      <c r="M3" s="5" t="inlineStr">
        <is>
          <t xml:space="preserve">Missing in source review; not executed. See checkout_screen.dart, OrderController.php, api.php.</t>
        </is>
      </c>
    </row>
    <row r="4" customFormat="false" hidden="false" outlineLevel="0" collapsed="false" ht="94.00" customHeight="true">
      <c r="A4" s="7" t="s">
        <v>1118</v>
      </c>
      <c r="B4" s="8" t="s">
        <v>1109</v>
      </c>
      <c r="C4" s="8" t="s">
        <v>1119</v>
      </c>
      <c r="D4" s="8" t="s">
        <v>44</v>
      </c>
      <c r="E4" s="8" t="s">
        <v>680</v>
      </c>
      <c r="F4" s="8" t="s">
        <v>681</v>
      </c>
      <c r="G4" s="8" t="s">
        <v>1120</v>
      </c>
      <c r="H4" s="8"/>
      <c r="I4" s="8" t="s">
        <v>1121</v>
      </c>
      <c r="J4" s="8"/>
      <c r="K4" s="5" t="inlineStr">
        <is>
          <t xml:space="preserve">There is no online payment failure state or Pay Again action in this buyer app.</t>
        </is>
      </c>
      <c r="L4" s="5" t="inlineStr">
        <is>
          <t xml:space="preserve">Not Run</t>
        </is>
      </c>
      <c r="M4" s="5" t="inlineStr">
        <is>
          <t xml:space="preserve">Missing in source review; not executed. See checkout_screen.dart, OrderController.php, api.php.</t>
        </is>
      </c>
    </row>
    <row r="5" customFormat="false" hidden="false" outlineLevel="0" collapsed="false" ht="94.00" customHeight="true">
      <c r="A5" s="7" t="s">
        <v>1122</v>
      </c>
      <c r="B5" s="8" t="s">
        <v>1109</v>
      </c>
      <c r="C5" s="8" t="s">
        <v>1123</v>
      </c>
      <c r="D5" s="8" t="s">
        <v>44</v>
      </c>
      <c r="E5" s="8" t="s">
        <v>668</v>
      </c>
      <c r="F5" s="8" t="s">
        <v>681</v>
      </c>
      <c r="G5" s="8" t="s">
        <v>1124</v>
      </c>
      <c r="H5" s="8"/>
      <c r="I5" s="8" t="s">
        <v>1125</v>
      </c>
      <c r="J5" s="8" t="s">
        <v>177</v>
      </c>
      <c r="K5" s="5" t="inlineStr">
        <is>
          <t xml:space="preserve">No payment gateway is opened, so there is no gateway cancellation or return flow.</t>
        </is>
      </c>
      <c r="L5" s="5" t="inlineStr">
        <is>
          <t xml:space="preserve">Not Run</t>
        </is>
      </c>
      <c r="M5" s="5" t="inlineStr">
        <is>
          <t xml:space="preserve">Missing in source review; not executed. See checkout_screen.dart, OrderController.php, api.php.</t>
        </is>
      </c>
    </row>
    <row r="6" customFormat="false" hidden="false" outlineLevel="0" collapsed="false" ht="94.00" customHeight="true">
      <c r="A6" s="7" t="s">
        <v>1126</v>
      </c>
      <c r="B6" s="8" t="s">
        <v>1109</v>
      </c>
      <c r="C6" s="8" t="s">
        <v>1127</v>
      </c>
      <c r="D6" s="8" t="s">
        <v>54</v>
      </c>
      <c r="E6" s="8" t="s">
        <v>668</v>
      </c>
      <c r="F6" s="8" t="s">
        <v>681</v>
      </c>
      <c r="G6" s="8" t="s">
        <v>1128</v>
      </c>
      <c r="H6" s="8"/>
      <c r="I6" s="8" t="s">
        <v>1129</v>
      </c>
      <c r="J6" s="8" t="s">
        <v>1130</v>
      </c>
      <c r="K6" s="5" t="inlineStr">
        <is>
          <t xml:space="preserve">Online payment callbacks and gateway references are not implemented. Closing the app during that flow cannot be tested here.</t>
        </is>
      </c>
      <c r="L6" s="5" t="inlineStr">
        <is>
          <t xml:space="preserve">Not Run</t>
        </is>
      </c>
      <c r="M6" s="5" t="inlineStr">
        <is>
          <t xml:space="preserve">Missing in source review; not executed. See checkout_screen.dart, OrderController.php, api.php.</t>
        </is>
      </c>
    </row>
    <row r="7" customFormat="false" hidden="false" outlineLevel="0" collapsed="false" ht="94.00" customHeight="true">
      <c r="A7" s="7" t="s">
        <v>1131</v>
      </c>
      <c r="B7" s="8" t="s">
        <v>1109</v>
      </c>
      <c r="C7" s="8" t="s">
        <v>1132</v>
      </c>
      <c r="D7" s="8" t="s">
        <v>50</v>
      </c>
      <c r="E7" s="8" t="s">
        <v>680</v>
      </c>
      <c r="F7" s="8" t="s">
        <v>1133</v>
      </c>
      <c r="G7" s="8" t="s">
        <v>1134</v>
      </c>
      <c r="H7" s="8"/>
      <c r="I7" s="8" t="s">
        <v>1135</v>
      </c>
      <c r="J7" s="8" t="s">
        <v>1136</v>
      </c>
      <c r="K7" s="5" t="inlineStr">
        <is>
          <t xml:space="preserve">I couldn't find an unpaid-payment auto-cancel process. Current checkout creates COD orders rather than unpaid online orders.</t>
        </is>
      </c>
      <c r="L7" s="5" t="inlineStr">
        <is>
          <t xml:space="preserve">Not Run</t>
        </is>
      </c>
      <c r="M7" s="5" t="inlineStr">
        <is>
          <t xml:space="preserve">Missing in source review; not executed. See checkout_screen.dart, OrderController.php, api.php.</t>
        </is>
      </c>
    </row>
    <row r="8" customFormat="false" hidden="false" outlineLevel="0" collapsed="false" ht="94.00" customHeight="true">
      <c r="A8" s="7" t="s">
        <v>1137</v>
      </c>
      <c r="B8" s="8" t="s">
        <v>1109</v>
      </c>
      <c r="C8" s="8" t="s">
        <v>1138</v>
      </c>
      <c r="D8" s="8" t="s">
        <v>46</v>
      </c>
      <c r="E8" s="8" t="s">
        <v>668</v>
      </c>
      <c r="F8" s="8" t="s">
        <v>681</v>
      </c>
      <c r="G8" s="8" t="s">
        <v>1139</v>
      </c>
      <c r="H8" s="8"/>
      <c r="I8" s="8" t="s">
        <v>1140</v>
      </c>
      <c r="J8" s="8" t="s">
        <v>84</v>
      </c>
      <c r="K8" s="5" t="inlineStr">
        <is>
          <t xml:space="preserve">There is no one-hour payment deadline or gateway payment flow, so the 59- and 61-minute boundary is not implemented.</t>
        </is>
      </c>
      <c r="L8" s="5" t="inlineStr">
        <is>
          <t xml:space="preserve">Not Run</t>
        </is>
      </c>
      <c r="M8" s="5" t="inlineStr">
        <is>
          <t xml:space="preserve">Missing in source review; not executed. See checkout_screen.dart, OrderController.php, api.php.</t>
        </is>
      </c>
    </row>
    <row r="9" customFormat="false" hidden="false" outlineLevel="0" collapsed="false" ht="94.00" customHeight="true">
      <c r="A9" s="7" t="s">
        <v>1141</v>
      </c>
      <c r="B9" s="8" t="s">
        <v>1109</v>
      </c>
      <c r="C9" s="8" t="s">
        <v>1142</v>
      </c>
      <c r="D9" s="8" t="s">
        <v>52</v>
      </c>
      <c r="E9" s="8" t="s">
        <v>680</v>
      </c>
      <c r="F9" s="8" t="s">
        <v>1143</v>
      </c>
      <c r="G9" s="8" t="s">
        <v>1144</v>
      </c>
      <c r="H9" s="8" t="s">
        <v>1145</v>
      </c>
      <c r="I9" s="8" t="s">
        <v>1146</v>
      </c>
      <c r="J9" s="8" t="s">
        <v>1130</v>
      </c>
      <c r="K9" s="5" t="inlineStr">
        <is>
          <t xml:space="preserve">The app does not open an external e-wallet or handle a payment return link. Only COD is available.</t>
        </is>
      </c>
      <c r="L9" s="5" t="inlineStr">
        <is>
          <t xml:space="preserve">Not Run</t>
        </is>
      </c>
      <c r="M9" s="5" t="inlineStr">
        <is>
          <t xml:space="preserve">Missing in source review; not executed. See checkout_screen.dart, OrderController.php, api.php.</t>
        </is>
      </c>
    </row>
    <row r="10" customFormat="false" hidden="false" outlineLevel="0" collapsed="false" ht="94.00" customHeight="true">
      <c r="A10" s="7" t="s">
        <v>1147</v>
      </c>
      <c r="B10" s="8" t="s">
        <v>1109</v>
      </c>
      <c r="C10" s="8" t="s">
        <v>1148</v>
      </c>
      <c r="D10" s="8" t="s">
        <v>54</v>
      </c>
      <c r="E10" s="8" t="s">
        <v>668</v>
      </c>
      <c r="F10" s="8" t="s">
        <v>1149</v>
      </c>
      <c r="G10" s="8" t="s">
        <v>1150</v>
      </c>
      <c r="H10" s="8"/>
      <c r="I10" s="8" t="s">
        <v>1151</v>
      </c>
      <c r="J10" s="8" t="s">
        <v>1152</v>
      </c>
      <c r="K10" s="5" t="inlineStr">
        <is>
          <t xml:space="preserve">There is no gateway-processing screen or Back-handling flow for online payments in this app.</t>
        </is>
      </c>
      <c r="L10" s="5" t="inlineStr">
        <is>
          <t xml:space="preserve">Not Run</t>
        </is>
      </c>
      <c r="M10" s="5" t="inlineStr">
        <is>
          <t xml:space="preserve">Missing in source review; not executed. See checkout_screen.dart, OrderController.php, api.php.</t>
        </is>
      </c>
    </row>
  </sheetData>
  <autoFilter ref="A1:M10"/>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idden="false" outlineLevel="0" collapsed="false" ht="94.00" customHeight="true">
      <c r="A2" s="7" t="s">
        <v>1153</v>
      </c>
      <c r="B2" s="8" t="s">
        <v>1154</v>
      </c>
      <c r="C2" s="8" t="s">
        <v>1155</v>
      </c>
      <c r="D2" s="8" t="s">
        <v>50</v>
      </c>
      <c r="E2" s="8" t="s">
        <v>680</v>
      </c>
      <c r="F2" s="8" t="s">
        <v>1156</v>
      </c>
      <c r="G2" s="8" t="s">
        <v>1157</v>
      </c>
      <c r="H2" s="8"/>
      <c r="I2" s="8" t="s">
        <v>1158</v>
      </c>
      <c r="J2" s="8" t="s">
        <v>96</v>
      </c>
      <c r="K2" s="5" t="inlineStr">
        <is>
          <t xml:space="preserve">The buyer tabs are All, To Ship, In Transit, Delivered, and Cancelled. They do not include To Pay, Completed, or Return/Refund as listed in this test.</t>
        </is>
      </c>
      <c r="L2" s="5" t="inlineStr">
        <is>
          <t xml:space="preserve">Not Run</t>
        </is>
      </c>
      <c r="M2" s="5" t="inlineStr">
        <is>
          <t xml:space="preserve">Gap in source review; not executed. See orders_screen.dart, order_detail_screen.dart, OrderController.php.</t>
        </is>
      </c>
    </row>
    <row r="3" customFormat="false" hidden="false" outlineLevel="0" collapsed="false" ht="122.00" customHeight="true">
      <c r="A3" s="7" t="s">
        <v>1159</v>
      </c>
      <c r="B3" s="8" t="s">
        <v>1154</v>
      </c>
      <c r="C3" s="8" t="s">
        <v>1160</v>
      </c>
      <c r="D3" s="8" t="s">
        <v>50</v>
      </c>
      <c r="E3" s="8" t="s">
        <v>680</v>
      </c>
      <c r="F3" s="8" t="s">
        <v>1161</v>
      </c>
      <c r="G3" s="8" t="s">
        <v>1162</v>
      </c>
      <c r="H3" s="8"/>
      <c r="I3" s="8" t="s">
        <v>1163</v>
      </c>
      <c r="J3" s="8" t="s">
        <v>1164</v>
      </c>
      <c r="K3" s="5" t="inlineStr">
        <is>
          <t xml:space="preserve">Order details show saved status-history entries and a basic progress indicator. The complete hub, courier, and handover flow needs connected seller and logistics updates that were not tested.</t>
        </is>
      </c>
      <c r="L3" s="5" t="inlineStr">
        <is>
          <t xml:space="preserve">Not Run</t>
        </is>
      </c>
      <c r="M3" s="5" t="inlineStr">
        <is>
          <t xml:space="preserve">Partial in source review; not executed. See orders_screen.dart, order_detail_screen.dart, OrderController.php.</t>
        </is>
      </c>
    </row>
    <row r="4" customFormat="false" hidden="false" outlineLevel="0" collapsed="false" ht="108.00" customHeight="true">
      <c r="A4" s="7" t="s">
        <v>1165</v>
      </c>
      <c r="B4" s="8" t="s">
        <v>1154</v>
      </c>
      <c r="C4" s="8" t="s">
        <v>1166</v>
      </c>
      <c r="D4" s="8" t="s">
        <v>50</v>
      </c>
      <c r="E4" s="8" t="s">
        <v>680</v>
      </c>
      <c r="F4" s="8" t="s">
        <v>1167</v>
      </c>
      <c r="G4" s="8" t="s">
        <v>1168</v>
      </c>
      <c r="H4" s="8"/>
      <c r="I4" s="8" t="s">
        <v>1169</v>
      </c>
      <c r="J4" s="8" t="s">
        <v>1170</v>
      </c>
      <c r="K4" s="5" t="inlineStr">
        <is>
          <t xml:space="preserve">There is no Order Received button or buyer completion endpoint. Seller earnings becoming available is not handled by this buyer flow.</t>
        </is>
      </c>
      <c r="L4" s="5" t="inlineStr">
        <is>
          <t xml:space="preserve">Not Run</t>
        </is>
      </c>
      <c r="M4" s="5" t="inlineStr">
        <is>
          <t xml:space="preserve">Missing in source review; not executed. See orders_screen.dart, order_detail_screen.dart, OrderController.php.</t>
        </is>
      </c>
    </row>
    <row r="5" customFormat="false" hidden="false" outlineLevel="0" collapsed="false" ht="108.00" customHeight="true">
      <c r="A5" s="7" t="s">
        <v>1171</v>
      </c>
      <c r="B5" s="8" t="s">
        <v>1154</v>
      </c>
      <c r="C5" s="8" t="s">
        <v>1172</v>
      </c>
      <c r="D5" s="8" t="s">
        <v>50</v>
      </c>
      <c r="E5" s="8" t="s">
        <v>668</v>
      </c>
      <c r="F5" s="8" t="s">
        <v>1173</v>
      </c>
      <c r="G5" s="8" t="s">
        <v>1174</v>
      </c>
      <c r="H5" s="8"/>
      <c r="I5" s="8" t="s">
        <v>1175</v>
      </c>
      <c r="J5" s="8" t="s">
        <v>1176</v>
      </c>
      <c r="K5" s="5" t="inlineStr">
        <is>
          <t xml:space="preserve">Order Received is absent at every stage, including before delivery. That does not confirm the intended delivery-to-completion feature, which is missing altogether.</t>
        </is>
      </c>
      <c r="L5" s="5" t="inlineStr">
        <is>
          <t xml:space="preserve">Not Run</t>
        </is>
      </c>
      <c r="M5" s="5" t="inlineStr">
        <is>
          <t xml:space="preserve">Partial in source review; not executed. See orders_screen.dart, order_detail_screen.dart, OrderController.php.</t>
        </is>
      </c>
    </row>
    <row r="6" customFormat="false" hidden="false" outlineLevel="0" collapsed="false" ht="108.00" customHeight="true">
      <c r="A6" s="7" t="s">
        <v>1177</v>
      </c>
      <c r="B6" s="8" t="s">
        <v>1154</v>
      </c>
      <c r="C6" s="8" t="s">
        <v>1178</v>
      </c>
      <c r="D6" s="8" t="s">
        <v>46</v>
      </c>
      <c r="E6" s="8" t="s">
        <v>668</v>
      </c>
      <c r="F6" s="8" t="s">
        <v>1179</v>
      </c>
      <c r="G6" s="8" t="s">
        <v>1180</v>
      </c>
      <c r="H6" s="8"/>
      <c r="I6" s="8" t="s">
        <v>1181</v>
      </c>
      <c r="J6" s="8" t="s">
        <v>99</v>
      </c>
      <c r="K6" s="5" t="inlineStr">
        <is>
          <t xml:space="preserve">I couldn't find a seven-day automatic completion process in the supplied buyer backend.</t>
        </is>
      </c>
      <c r="L6" s="5" t="inlineStr">
        <is>
          <t xml:space="preserve">Not Run</t>
        </is>
      </c>
      <c r="M6" s="5" t="inlineStr">
        <is>
          <t xml:space="preserve">Missing in source review; not executed. See orders_screen.dart, order_detail_screen.dart, OrderController.php.</t>
        </is>
      </c>
    </row>
    <row r="7" customFormat="false" hidden="false" outlineLevel="0" collapsed="false" ht="108.00" customHeight="true">
      <c r="A7" s="7" t="s">
        <v>1182</v>
      </c>
      <c r="B7" s="8" t="s">
        <v>1154</v>
      </c>
      <c r="C7" s="8" t="s">
        <v>1183</v>
      </c>
      <c r="D7" s="8" t="s">
        <v>54</v>
      </c>
      <c r="E7" s="8" t="s">
        <v>680</v>
      </c>
      <c r="F7" s="8" t="s">
        <v>681</v>
      </c>
      <c r="G7" s="8" t="s">
        <v>1184</v>
      </c>
      <c r="H7" s="8"/>
      <c r="I7" s="8" t="s">
        <v>1185</v>
      </c>
      <c r="J7" s="8" t="s">
        <v>778</v>
      </c>
      <c r="K7" s="5" t="inlineStr">
        <is>
          <t xml:space="preserve">Order details are looked up using both the order ID and the signed-in buyer's ID. Another buyer's order is excluded from that lookup.</t>
        </is>
      </c>
      <c r="L7" s="5" t="inlineStr">
        <is>
          <t xml:space="preserve">Not Run</t>
        </is>
      </c>
      <c r="M7" s="5" t="inlineStr">
        <is>
          <t xml:space="preserve">Supported in source review; not executed. See orders_screen.dart, order_detail_screen.dart, OrderController.php.</t>
        </is>
      </c>
    </row>
    <row r="8" customFormat="false" hidden="false" outlineLevel="0" collapsed="false" ht="94.00" customHeight="true">
      <c r="A8" s="7" t="s">
        <v>1186</v>
      </c>
      <c r="B8" s="8" t="s">
        <v>1154</v>
      </c>
      <c r="C8" s="8" t="s">
        <v>1187</v>
      </c>
      <c r="D8" s="8" t="s">
        <v>50</v>
      </c>
      <c r="E8" s="8" t="s">
        <v>680</v>
      </c>
      <c r="F8" s="8" t="s">
        <v>1188</v>
      </c>
      <c r="G8" s="8" t="s">
        <v>1189</v>
      </c>
      <c r="H8" s="8"/>
      <c r="I8" s="8" t="s">
        <v>1190</v>
      </c>
      <c r="J8" s="8" t="s">
        <v>1191</v>
      </c>
      <c r="K8" s="5" t="inlineStr">
        <is>
          <t xml:space="preserve">Order updates appear in the in-app inbox, but push notifications and notification links into order tracking are not implemented.</t>
        </is>
      </c>
      <c r="L8" s="5" t="inlineStr">
        <is>
          <t xml:space="preserve">Not Run</t>
        </is>
      </c>
      <c r="M8" s="5" t="inlineStr">
        <is>
          <t xml:space="preserve">Missing in source review; not executed. See pubspec.yaml, notifications_screen.dart.</t>
        </is>
      </c>
    </row>
  </sheetData>
  <autoFilter ref="A1:M8"/>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idden="false" outlineLevel="0" collapsed="false" ht="136.00" customHeight="true">
      <c r="A2" s="7" t="s">
        <v>1192</v>
      </c>
      <c r="B2" s="8" t="s">
        <v>1193</v>
      </c>
      <c r="C2" s="8" t="s">
        <v>1194</v>
      </c>
      <c r="D2" s="8" t="s">
        <v>50</v>
      </c>
      <c r="E2" s="8" t="s">
        <v>680</v>
      </c>
      <c r="F2" s="8" t="s">
        <v>1195</v>
      </c>
      <c r="G2" s="8" t="s">
        <v>1196</v>
      </c>
      <c r="H2" s="8"/>
      <c r="I2" s="8" t="s">
        <v>1197</v>
      </c>
      <c r="J2" s="8" t="s">
        <v>1198</v>
      </c>
      <c r="K2" s="5" t="inlineStr">
        <is>
          <t xml:space="preserve">A pending or confirmed COD order can be cancelled after a confirmation prompt. There is no cancellation-reason field, and variant purchases restore product stock rather than the selected variant's stock.</t>
        </is>
      </c>
      <c r="L2" s="5" t="inlineStr">
        <is>
          <t xml:space="preserve">Not Run</t>
        </is>
      </c>
      <c r="M2" s="5" t="inlineStr">
        <is>
          <t xml:space="preserve">Partial in source review; not executed. See order_detail_screen.dart, OrderController.php.</t>
        </is>
      </c>
    </row>
    <row r="3" customFormat="false" hidden="false" outlineLevel="0" collapsed="false" ht="80.00" customHeight="true">
      <c r="A3" s="7" t="s">
        <v>1199</v>
      </c>
      <c r="B3" s="8" t="s">
        <v>1193</v>
      </c>
      <c r="C3" s="8" t="s">
        <v>1200</v>
      </c>
      <c r="D3" s="8" t="s">
        <v>44</v>
      </c>
      <c r="E3" s="8" t="s">
        <v>668</v>
      </c>
      <c r="F3" s="8" t="s">
        <v>681</v>
      </c>
      <c r="G3" s="8" t="s">
        <v>1201</v>
      </c>
      <c r="H3" s="8"/>
      <c r="I3" s="8" t="s">
        <v>1202</v>
      </c>
      <c r="J3" s="8"/>
      <c r="K3" s="5" t="inlineStr">
        <is>
          <t xml:space="preserve">Cancellation only asks for confirmation. A reason is not requested or required by the API.</t>
        </is>
      </c>
      <c r="L3" s="5" t="inlineStr">
        <is>
          <t xml:space="preserve">Not Run</t>
        </is>
      </c>
      <c r="M3" s="5" t="inlineStr">
        <is>
          <t xml:space="preserve">Gap in source review; not executed. See order_detail_screen.dart, OrderController.php.</t>
        </is>
      </c>
    </row>
    <row r="4" customFormat="false" hidden="false" outlineLevel="0" collapsed="false" ht="80.00" customHeight="true">
      <c r="A4" s="7" t="s">
        <v>1203</v>
      </c>
      <c r="B4" s="8" t="s">
        <v>1193</v>
      </c>
      <c r="C4" s="8" t="s">
        <v>1204</v>
      </c>
      <c r="D4" s="8" t="s">
        <v>50</v>
      </c>
      <c r="E4" s="8" t="s">
        <v>680</v>
      </c>
      <c r="F4" s="8" t="s">
        <v>1205</v>
      </c>
      <c r="G4" s="8" t="s">
        <v>1206</v>
      </c>
      <c r="H4" s="8"/>
      <c r="I4" s="8" t="s">
        <v>1207</v>
      </c>
      <c r="J4" s="8" t="s">
        <v>1208</v>
      </c>
      <c r="K4" s="5" t="inlineStr">
        <is>
          <t xml:space="preserve">Prepaid checkout and automatic refunds are not available. Cancellation also does not restore voucher usage.</t>
        </is>
      </c>
      <c r="L4" s="5" t="inlineStr">
        <is>
          <t xml:space="preserve">Not Run</t>
        </is>
      </c>
      <c r="M4" s="5" t="inlineStr">
        <is>
          <t xml:space="preserve">Missing in source review; not executed. See order_detail_screen.dart, OrderController.php.</t>
        </is>
      </c>
    </row>
    <row r="5" customFormat="false" hidden="false" outlineLevel="0" collapsed="false" ht="108.00" customHeight="true">
      <c r="A5" s="7" t="s">
        <v>1209</v>
      </c>
      <c r="B5" s="8" t="s">
        <v>1193</v>
      </c>
      <c r="C5" s="8" t="s">
        <v>1210</v>
      </c>
      <c r="D5" s="8" t="s">
        <v>50</v>
      </c>
      <c r="E5" s="8" t="s">
        <v>680</v>
      </c>
      <c r="F5" s="8" t="s">
        <v>1211</v>
      </c>
      <c r="G5" s="8" t="s">
        <v>1212</v>
      </c>
      <c r="H5" s="8"/>
      <c r="I5" s="8" t="s">
        <v>1213</v>
      </c>
      <c r="J5" s="8" t="s">
        <v>1214</v>
      </c>
      <c r="K5" s="5" t="inlineStr">
        <is>
          <t xml:space="preserve">Cancel is limited to pending and confirmed orders in both the screen and API. The seller's Ready for Pickup status needs checking against those actual status values.</t>
        </is>
      </c>
      <c r="L5" s="5" t="inlineStr">
        <is>
          <t xml:space="preserve">Not Run</t>
        </is>
      </c>
      <c r="M5" s="5" t="inlineStr">
        <is>
          <t xml:space="preserve">Partial in source review; not executed. See order_detail_screen.dart, OrderController.php.</t>
        </is>
      </c>
    </row>
    <row r="6" customFormat="false" hidden="false" outlineLevel="0" collapsed="false" ht="94.00" customHeight="true">
      <c r="A6" s="7" t="s">
        <v>1215</v>
      </c>
      <c r="B6" s="8" t="s">
        <v>1193</v>
      </c>
      <c r="C6" s="8" t="s">
        <v>1216</v>
      </c>
      <c r="D6" s="8" t="s">
        <v>50</v>
      </c>
      <c r="E6" s="8" t="s">
        <v>680</v>
      </c>
      <c r="F6" s="8" t="s">
        <v>1217</v>
      </c>
      <c r="G6" s="8" t="s">
        <v>1218</v>
      </c>
      <c r="H6" s="8"/>
      <c r="I6" s="8" t="s">
        <v>1219</v>
      </c>
      <c r="J6" s="8" t="s">
        <v>84</v>
      </c>
      <c r="K6" s="5" t="inlineStr">
        <is>
          <t xml:space="preserve">The Cancel button is hidden once an order leaves pending or confirmed, and the API rejects cancellation for later statuses.</t>
        </is>
      </c>
      <c r="L6" s="5" t="inlineStr">
        <is>
          <t xml:space="preserve">Not Run</t>
        </is>
      </c>
      <c r="M6" s="5" t="inlineStr">
        <is>
          <t xml:space="preserve">Supported in source review; not executed. See order_detail_screen.dart, OrderController.php.</t>
        </is>
      </c>
    </row>
    <row r="7" customFormat="false" hidden="false" outlineLevel="0" collapsed="false" ht="108.00" customHeight="true">
      <c r="A7" s="7" t="s">
        <v>1220</v>
      </c>
      <c r="B7" s="8" t="s">
        <v>1193</v>
      </c>
      <c r="C7" s="8" t="s">
        <v>1221</v>
      </c>
      <c r="D7" s="8" t="s">
        <v>54</v>
      </c>
      <c r="E7" s="8" t="s">
        <v>755</v>
      </c>
      <c r="F7" s="8" t="s">
        <v>681</v>
      </c>
      <c r="G7" s="8" t="s">
        <v>1222</v>
      </c>
      <c r="H7" s="8"/>
      <c r="I7" s="8" t="s">
        <v>1223</v>
      </c>
      <c r="J7" s="8" t="s">
        <v>177</v>
      </c>
      <c r="K7" s="5" t="inlineStr">
        <is>
          <t xml:space="preserve">A later repeat request is refused once the order is cancelled. The cancellation and stock restoration are not locked together, so simultaneous taps still need testing.</t>
        </is>
      </c>
      <c r="L7" s="5" t="inlineStr">
        <is>
          <t xml:space="preserve">Not Run</t>
        </is>
      </c>
      <c r="M7" s="5" t="inlineStr">
        <is>
          <t xml:space="preserve">Needs live check in source review; not executed. See order_detail_screen.dart, OrderController.php.</t>
        </is>
      </c>
    </row>
  </sheetData>
  <autoFilter ref="A1:M7"/>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idden="false" outlineLevel="0" collapsed="false" ht="94.00" customHeight="true">
      <c r="A2" s="7" t="s">
        <v>1224</v>
      </c>
      <c r="B2" s="8" t="s">
        <v>1225</v>
      </c>
      <c r="C2" s="8" t="s">
        <v>1226</v>
      </c>
      <c r="D2" s="8" t="s">
        <v>52</v>
      </c>
      <c r="E2" s="8" t="s">
        <v>680</v>
      </c>
      <c r="F2" s="8" t="s">
        <v>1227</v>
      </c>
      <c r="G2" s="8" t="s">
        <v>1228</v>
      </c>
      <c r="H2" s="8" t="s">
        <v>1229</v>
      </c>
      <c r="I2" s="8" t="s">
        <v>1230</v>
      </c>
      <c r="J2" s="8" t="s">
        <v>1231</v>
      </c>
      <c r="K2" s="5" t="inlineStr">
        <is>
          <t xml:space="preserve">I couldn't find a Return/Refund request screen or endpoint in this buyer app. A damaged-item request with photo evidence cannot be submitted here.</t>
        </is>
      </c>
      <c r="L2" s="5" t="inlineStr">
        <is>
          <t xml:space="preserve">Not Run</t>
        </is>
      </c>
      <c r="M2" s="5" t="inlineStr">
        <is>
          <t xml:space="preserve">Missing in source review; not executed. See api.php, order_detail_screen.dart.</t>
        </is>
      </c>
    </row>
    <row r="3" customFormat="false" hidden="false" outlineLevel="0" collapsed="false" ht="94.00" customHeight="true">
      <c r="A3" s="7" t="s">
        <v>1232</v>
      </c>
      <c r="B3" s="8" t="s">
        <v>1225</v>
      </c>
      <c r="C3" s="8" t="s">
        <v>1233</v>
      </c>
      <c r="D3" s="8" t="s">
        <v>50</v>
      </c>
      <c r="E3" s="8" t="s">
        <v>680</v>
      </c>
      <c r="F3" s="8" t="s">
        <v>1234</v>
      </c>
      <c r="G3" s="8" t="s">
        <v>1235</v>
      </c>
      <c r="H3" s="8"/>
      <c r="I3" s="8" t="s">
        <v>1236</v>
      </c>
      <c r="J3" s="8" t="s">
        <v>99</v>
      </c>
      <c r="K3" s="5" t="inlineStr">
        <is>
          <t xml:space="preserve">Returns are unavailable throughout the current app, including before delivery. This does not demonstrate a working delivery-based eligibility rule.</t>
        </is>
      </c>
      <c r="L3" s="5" t="inlineStr">
        <is>
          <t xml:space="preserve">Not Run</t>
        </is>
      </c>
      <c r="M3" s="5" t="inlineStr">
        <is>
          <t xml:space="preserve">Missing in source review; not executed. See api.php, order_detail_screen.dart.</t>
        </is>
      </c>
    </row>
    <row r="4" customFormat="false" hidden="false" outlineLevel="0" collapsed="false" ht="66.00" customHeight="true">
      <c r="A4" s="7" t="s">
        <v>1237</v>
      </c>
      <c r="B4" s="8" t="s">
        <v>1225</v>
      </c>
      <c r="C4" s="8" t="s">
        <v>1238</v>
      </c>
      <c r="D4" s="8" t="s">
        <v>46</v>
      </c>
      <c r="E4" s="8" t="s">
        <v>680</v>
      </c>
      <c r="F4" s="8" t="s">
        <v>681</v>
      </c>
      <c r="G4" s="8" t="s">
        <v>1239</v>
      </c>
      <c r="H4" s="8"/>
      <c r="I4" s="8" t="s">
        <v>1240</v>
      </c>
      <c r="J4" s="8" t="s">
        <v>99</v>
      </c>
      <c r="K4" s="5" t="inlineStr">
        <is>
          <t xml:space="preserve">There is no return window or return-request flow, so the seven-day boundary is not enforced here.</t>
        </is>
      </c>
      <c r="L4" s="5" t="inlineStr">
        <is>
          <t xml:space="preserve">Not Run</t>
        </is>
      </c>
      <c r="M4" s="5" t="inlineStr">
        <is>
          <t xml:space="preserve">Missing in source review; not executed. See api.php, order_detail_screen.dart.</t>
        </is>
      </c>
    </row>
    <row r="5" customFormat="false" hidden="false" outlineLevel="0" collapsed="false" ht="80.00" customHeight="true">
      <c r="A5" s="7" t="s">
        <v>1241</v>
      </c>
      <c r="B5" s="8" t="s">
        <v>1225</v>
      </c>
      <c r="C5" s="8" t="s">
        <v>1242</v>
      </c>
      <c r="D5" s="8" t="s">
        <v>46</v>
      </c>
      <c r="E5" s="8" t="s">
        <v>668</v>
      </c>
      <c r="F5" s="8" t="s">
        <v>681</v>
      </c>
      <c r="G5" s="8" t="s">
        <v>1243</v>
      </c>
      <c r="H5" s="8"/>
      <c r="I5" s="8" t="s">
        <v>1244</v>
      </c>
      <c r="J5" s="8" t="s">
        <v>159</v>
      </c>
      <c r="K5" s="5" t="inlineStr">
        <is>
          <t xml:space="preserve">Return descriptions and evidence uploads are not implemented, so their required fields and limits cannot be checked.</t>
        </is>
      </c>
      <c r="L5" s="5" t="inlineStr">
        <is>
          <t xml:space="preserve">Not Run</t>
        </is>
      </c>
      <c r="M5" s="5" t="inlineStr">
        <is>
          <t xml:space="preserve">Missing in source review; not executed. See api.php, order_detail_screen.dart.</t>
        </is>
      </c>
    </row>
    <row r="6" customFormat="false" hidden="false" outlineLevel="0" collapsed="false" ht="66.00" customHeight="true">
      <c r="A6" s="7" t="s">
        <v>1245</v>
      </c>
      <c r="B6" s="8" t="s">
        <v>1225</v>
      </c>
      <c r="C6" s="8" t="s">
        <v>1246</v>
      </c>
      <c r="D6" s="8" t="s">
        <v>50</v>
      </c>
      <c r="E6" s="8" t="s">
        <v>668</v>
      </c>
      <c r="F6" s="8" t="s">
        <v>1247</v>
      </c>
      <c r="G6" s="8" t="s">
        <v>1248</v>
      </c>
      <c r="H6" s="8"/>
      <c r="I6" s="8" t="s">
        <v>1249</v>
      </c>
      <c r="J6" s="8" t="s">
        <v>159</v>
      </c>
      <c r="K6" s="5" t="inlineStr">
        <is>
          <t xml:space="preserve">The app has no return-request tracking, seller rejection details, or Escalate option.</t>
        </is>
      </c>
      <c r="L6" s="5" t="inlineStr">
        <is>
          <t xml:space="preserve">Not Run</t>
        </is>
      </c>
      <c r="M6" s="5" t="inlineStr">
        <is>
          <t xml:space="preserve">Missing in source review; not executed. See api.php, order_detail_screen.dart.</t>
        </is>
      </c>
    </row>
    <row r="7" customFormat="false" hidden="false" outlineLevel="0" collapsed="false" ht="80.00" customHeight="true">
      <c r="A7" s="7" t="s">
        <v>1250</v>
      </c>
      <c r="B7" s="8" t="s">
        <v>1225</v>
      </c>
      <c r="C7" s="8" t="s">
        <v>1251</v>
      </c>
      <c r="D7" s="8" t="s">
        <v>52</v>
      </c>
      <c r="E7" s="8" t="s">
        <v>668</v>
      </c>
      <c r="F7" s="8" t="s">
        <v>1252</v>
      </c>
      <c r="G7" s="8" t="s">
        <v>1253</v>
      </c>
      <c r="H7" s="8" t="s">
        <v>1254</v>
      </c>
      <c r="I7" s="8" t="s">
        <v>1255</v>
      </c>
      <c r="J7" s="8" t="s">
        <v>1256</v>
      </c>
      <c r="K7" s="5" t="inlineStr">
        <is>
          <t xml:space="preserve">There is no return-evidence screen with camera or gallery attachments. This two-photo submission flow is not available.</t>
        </is>
      </c>
      <c r="L7" s="5" t="inlineStr">
        <is>
          <t xml:space="preserve">Not Run</t>
        </is>
      </c>
      <c r="M7" s="5" t="inlineStr">
        <is>
          <t xml:space="preserve">Missing in source review; not executed. See api.php, order_detail_screen.dart.</t>
        </is>
      </c>
    </row>
  </sheetData>
  <autoFilter ref="A1:M7"/>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idden="false" outlineLevel="0" collapsed="false" ht="108.00" customHeight="true">
      <c r="A2" s="7" t="s">
        <v>1257</v>
      </c>
      <c r="B2" s="8" t="s">
        <v>1258</v>
      </c>
      <c r="C2" s="8" t="s">
        <v>1259</v>
      </c>
      <c r="D2" s="8" t="s">
        <v>52</v>
      </c>
      <c r="E2" s="8" t="s">
        <v>680</v>
      </c>
      <c r="F2" s="8" t="s">
        <v>1260</v>
      </c>
      <c r="G2" s="8" t="s">
        <v>1261</v>
      </c>
      <c r="H2" s="8" t="s">
        <v>1262</v>
      </c>
      <c r="I2" s="8" t="s">
        <v>1263</v>
      </c>
      <c r="J2" s="8" t="s">
        <v>102</v>
      </c>
      <c r="K2" s="5" t="inlineStr">
        <is>
          <t xml:space="preserve">Delivered orders have a star-rating and optional feedback form. It does not accept review photos or provide the complete masked-name and variant display described here.</t>
        </is>
      </c>
      <c r="L2" s="5" t="inlineStr">
        <is>
          <t xml:space="preserve">Not Run</t>
        </is>
      </c>
      <c r="M2" s="5" t="inlineStr">
        <is>
          <t xml:space="preserve">Partial in source review; not executed. See order_detail_screen.dart, OrderController.php.</t>
        </is>
      </c>
    </row>
    <row r="3" customFormat="false" hidden="false" outlineLevel="0" collapsed="false" ht="122.00" customHeight="true">
      <c r="A3" s="7" t="s">
        <v>1264</v>
      </c>
      <c r="B3" s="8" t="s">
        <v>1258</v>
      </c>
      <c r="C3" s="8" t="s">
        <v>1265</v>
      </c>
      <c r="D3" s="8" t="s">
        <v>50</v>
      </c>
      <c r="E3" s="8" t="s">
        <v>680</v>
      </c>
      <c r="F3" s="8" t="s">
        <v>1266</v>
      </c>
      <c r="G3" s="8" t="s">
        <v>1267</v>
      </c>
      <c r="H3" s="8"/>
      <c r="I3" s="8" t="s">
        <v>1268</v>
      </c>
      <c r="J3" s="8" t="s">
        <v>1269</v>
      </c>
      <c r="K3" s="5" t="inlineStr">
        <is>
          <t xml:space="preserve">The screen offers rating for delivered orders, but the API does not require delivery or completion before saving a review. Owning the order and its product is enough for that request.</t>
        </is>
      </c>
      <c r="L3" s="5" t="inlineStr">
        <is>
          <t xml:space="preserve">Not Run</t>
        </is>
      </c>
      <c r="M3" s="5" t="inlineStr">
        <is>
          <t xml:space="preserve">Gap in source review; not executed. See order_detail_screen.dart, OrderController.php.</t>
        </is>
      </c>
    </row>
    <row r="4" customFormat="false" hidden="false" outlineLevel="0" collapsed="false" ht="108.00" customHeight="true">
      <c r="A4" s="7" t="s">
        <v>1270</v>
      </c>
      <c r="B4" s="8" t="s">
        <v>1258</v>
      </c>
      <c r="C4" s="8" t="s">
        <v>1271</v>
      </c>
      <c r="D4" s="8" t="s">
        <v>44</v>
      </c>
      <c r="E4" s="8" t="s">
        <v>668</v>
      </c>
      <c r="F4" s="8" t="s">
        <v>1272</v>
      </c>
      <c r="G4" s="8" t="s">
        <v>1273</v>
      </c>
      <c r="H4" s="8"/>
      <c r="I4" s="8" t="s">
        <v>1274</v>
      </c>
      <c r="J4" s="8" t="s">
        <v>102</v>
      </c>
      <c r="K4" s="5" t="inlineStr">
        <is>
          <t xml:space="preserve">Another submission updates the same buyer, product, and order review instead of adding a duplicate. The app does not switch to an Edit-only flow or refuse the second submission.</t>
        </is>
      </c>
      <c r="L4" s="5" t="inlineStr">
        <is>
          <t xml:space="preserve">Not Run</t>
        </is>
      </c>
      <c r="M4" s="5" t="inlineStr">
        <is>
          <t xml:space="preserve">Gap in source review; not executed. See order_detail_screen.dart, OrderController.php.</t>
        </is>
      </c>
    </row>
    <row r="5" customFormat="false" hidden="false" outlineLevel="0" collapsed="false" ht="108.00" customHeight="true">
      <c r="A5" s="7" t="s">
        <v>1275</v>
      </c>
      <c r="B5" s="8" t="s">
        <v>1258</v>
      </c>
      <c r="C5" s="8" t="s">
        <v>1276</v>
      </c>
      <c r="D5" s="8" t="s">
        <v>46</v>
      </c>
      <c r="E5" s="8" t="s">
        <v>668</v>
      </c>
      <c r="F5" s="8" t="s">
        <v>681</v>
      </c>
      <c r="G5" s="8" t="s">
        <v>1277</v>
      </c>
      <c r="H5" s="8"/>
      <c r="I5" s="8" t="s">
        <v>1278</v>
      </c>
      <c r="J5" s="8" t="s">
        <v>102</v>
      </c>
      <c r="K5" s="5" t="inlineStr">
        <is>
          <t xml:space="preserve">The server accepts ratings from one to five and comments up to 2,000 characters. Review photos and the workbook's 500-character limit are not implemented.</t>
        </is>
      </c>
      <c r="L5" s="5" t="inlineStr">
        <is>
          <t xml:space="preserve">Not Run</t>
        </is>
      </c>
      <c r="M5" s="5" t="inlineStr">
        <is>
          <t xml:space="preserve">Gap in source review; not executed. See order_detail_screen.dart, OrderController.php.</t>
        </is>
      </c>
    </row>
    <row r="6" customFormat="false" hidden="false" outlineLevel="0" collapsed="false" ht="80.00" customHeight="true">
      <c r="A6" s="7" t="s">
        <v>1279</v>
      </c>
      <c r="B6" s="8" t="s">
        <v>1258</v>
      </c>
      <c r="C6" s="8" t="s">
        <v>1280</v>
      </c>
      <c r="D6" s="8" t="s">
        <v>50</v>
      </c>
      <c r="E6" s="8" t="s">
        <v>755</v>
      </c>
      <c r="F6" s="8" t="s">
        <v>681</v>
      </c>
      <c r="G6" s="8" t="s">
        <v>1281</v>
      </c>
      <c r="H6" s="8"/>
      <c r="I6" s="8" t="s">
        <v>1282</v>
      </c>
      <c r="J6" s="8" t="s">
        <v>102</v>
      </c>
      <c r="K6" s="5" t="inlineStr">
        <is>
          <t xml:space="preserve">There is no one-edit limit or 30-day review deadline. Submitting again can keep updating the existing review.</t>
        </is>
      </c>
      <c r="L6" s="5" t="inlineStr">
        <is>
          <t xml:space="preserve">Not Run</t>
        </is>
      </c>
      <c r="M6" s="5" t="inlineStr">
        <is>
          <t xml:space="preserve">Gap in source review; not executed. See order_detail_screen.dart, OrderController.php.</t>
        </is>
      </c>
    </row>
    <row r="7" customFormat="false" hidden="false" outlineLevel="0" collapsed="false" ht="136.00" customHeight="true">
      <c r="A7" s="7" t="s">
        <v>1283</v>
      </c>
      <c r="B7" s="8" t="s">
        <v>1258</v>
      </c>
      <c r="C7" s="8" t="s">
        <v>1284</v>
      </c>
      <c r="D7" s="8" t="s">
        <v>52</v>
      </c>
      <c r="E7" s="8" t="s">
        <v>668</v>
      </c>
      <c r="F7" s="8" t="s">
        <v>1285</v>
      </c>
      <c r="G7" s="8" t="s">
        <v>1286</v>
      </c>
      <c r="H7" s="8"/>
      <c r="I7" s="8" t="s">
        <v>1287</v>
      </c>
      <c r="J7" s="8"/>
      <c r="K7" s="5" t="inlineStr">
        <is>
          <t xml:space="preserve">Saving a review recalculates the product's average from visible reviews and rounds it to one decimal place. Two reviews of five and one stars would give 3.0; the visible count still needs checking.</t>
        </is>
      </c>
      <c r="L7" s="5" t="inlineStr">
        <is>
          <t xml:space="preserve">Not Run</t>
        </is>
      </c>
      <c r="M7" s="5" t="inlineStr">
        <is>
          <t xml:space="preserve">Supported in source review; not executed. See order_detail_screen.dart, OrderController.php.</t>
        </is>
      </c>
    </row>
    <row r="8" customFormat="false" hidden="false" outlineLevel="0" collapsed="false" ht="80.00" customHeight="true">
      <c r="A8" s="7" t="s">
        <v>1288</v>
      </c>
      <c r="B8" s="8" t="s">
        <v>1258</v>
      </c>
      <c r="C8" s="8" t="s">
        <v>1289</v>
      </c>
      <c r="D8" s="8" t="s">
        <v>46</v>
      </c>
      <c r="E8" s="8" t="s">
        <v>755</v>
      </c>
      <c r="F8" s="8" t="s">
        <v>1290</v>
      </c>
      <c r="G8" s="8" t="s">
        <v>1291</v>
      </c>
      <c r="H8" s="8"/>
      <c r="I8" s="8" t="s">
        <v>1292</v>
      </c>
      <c r="J8" s="8" t="s">
        <v>1293</v>
      </c>
      <c r="K8" s="5" t="inlineStr">
        <is>
          <t xml:space="preserve">The review form has no photo picker or camera action, so the five-photo selection flow is not available.</t>
        </is>
      </c>
      <c r="L8" s="5" t="inlineStr">
        <is>
          <t xml:space="preserve">Not Run</t>
        </is>
      </c>
      <c r="M8" s="5" t="inlineStr">
        <is>
          <t xml:space="preserve">Missing in source review; not executed. See order_detail_screen.dart, OrderController.php.</t>
        </is>
      </c>
    </row>
  </sheetData>
  <autoFilter ref="A1:M8"/>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idden="false" outlineLevel="0" collapsed="false" ht="122.00" customHeight="true">
      <c r="A2" s="7" t="s">
        <v>1294</v>
      </c>
      <c r="B2" s="8" t="s">
        <v>1295</v>
      </c>
      <c r="C2" s="8" t="s">
        <v>1296</v>
      </c>
      <c r="D2" s="8" t="s">
        <v>52</v>
      </c>
      <c r="E2" s="8" t="s">
        <v>668</v>
      </c>
      <c r="F2" s="8" t="s">
        <v>681</v>
      </c>
      <c r="G2" s="8" t="s">
        <v>1297</v>
      </c>
      <c r="H2" s="8" t="s">
        <v>1298</v>
      </c>
      <c r="I2" s="8" t="s">
        <v>1299</v>
      </c>
      <c r="J2" s="8"/>
      <c r="K2" s="5" t="inlineStr">
        <is>
          <t xml:space="preserve">Seller-linked text conversations are supported, but photos and product cards are not attached to messages. The product page's main Chat shortcut also opens the general message list.</t>
        </is>
      </c>
      <c r="L2" s="5" t="inlineStr">
        <is>
          <t xml:space="preserve">Not Run</t>
        </is>
      </c>
      <c r="M2" s="5" t="inlineStr">
        <is>
          <t xml:space="preserve">Partial in source review; not executed. See chat_screen.dart, notifications_screen.dart, ChatController.php, NotificationController.php.</t>
        </is>
      </c>
    </row>
    <row r="3" customFormat="false" hidden="false" outlineLevel="0" collapsed="false" ht="122.00" customHeight="true">
      <c r="A3" s="7" t="s">
        <v>1300</v>
      </c>
      <c r="B3" s="8" t="s">
        <v>1295</v>
      </c>
      <c r="C3" s="8" t="s">
        <v>1301</v>
      </c>
      <c r="D3" s="8" t="s">
        <v>46</v>
      </c>
      <c r="E3" s="8" t="s">
        <v>755</v>
      </c>
      <c r="F3" s="8" t="s">
        <v>681</v>
      </c>
      <c r="G3" s="8" t="s">
        <v>1302</v>
      </c>
      <c r="H3" s="8"/>
      <c r="I3" s="8" t="s">
        <v>1303</v>
      </c>
      <c r="J3" s="8" t="s">
        <v>1304</v>
      </c>
      <c r="K3" s="5" t="inlineStr">
        <is>
          <t xml:space="preserve">Chat messages can contain up to 2,000 characters, so a 1,001-character message is not rejected by that rule. File attachments are not supported.</t>
        </is>
      </c>
      <c r="L3" s="5" t="inlineStr">
        <is>
          <t xml:space="preserve">Not Run</t>
        </is>
      </c>
      <c r="M3" s="5" t="inlineStr">
        <is>
          <t xml:space="preserve">Gap in source review; not executed. See chat_screen.dart, notifications_screen.dart, ChatController.php, NotificationController.php.</t>
        </is>
      </c>
    </row>
    <row r="4" customFormat="false" hidden="false" outlineLevel="0" collapsed="false" ht="122.00" customHeight="true">
      <c r="A4" s="7" t="s">
        <v>1305</v>
      </c>
      <c r="B4" s="8" t="s">
        <v>1295</v>
      </c>
      <c r="C4" s="8" t="s">
        <v>1306</v>
      </c>
      <c r="D4" s="8" t="s">
        <v>50</v>
      </c>
      <c r="E4" s="8" t="s">
        <v>680</v>
      </c>
      <c r="F4" s="8" t="s">
        <v>681</v>
      </c>
      <c r="G4" s="8" t="s">
        <v>1307</v>
      </c>
      <c r="H4" s="8"/>
      <c r="I4" s="8" t="s">
        <v>1308</v>
      </c>
      <c r="J4" s="8" t="s">
        <v>135</v>
      </c>
      <c r="K4" s="5" t="inlineStr">
        <is>
          <t xml:space="preserve">The inbox builds order notifications from the buyer's saved status history and opens the related order. Exactly one entry per external status change still needs a live integration check.</t>
        </is>
      </c>
      <c r="L4" s="5" t="inlineStr">
        <is>
          <t xml:space="preserve">Not Run</t>
        </is>
      </c>
      <c r="M4" s="5" t="inlineStr">
        <is>
          <t xml:space="preserve">Partial in source review; not executed. See chat_screen.dart, notifications_screen.dart, ChatController.php, NotificationController.php.</t>
        </is>
      </c>
    </row>
    <row r="5" customFormat="false" hidden="false" outlineLevel="0" collapsed="false" ht="122.00" customHeight="true">
      <c r="A5" s="7" t="s">
        <v>1309</v>
      </c>
      <c r="B5" s="8" t="s">
        <v>1295</v>
      </c>
      <c r="C5" s="8" t="s">
        <v>1310</v>
      </c>
      <c r="D5" s="8" t="s">
        <v>44</v>
      </c>
      <c r="E5" s="8" t="s">
        <v>755</v>
      </c>
      <c r="F5" s="8" t="s">
        <v>1311</v>
      </c>
      <c r="G5" s="8" t="s">
        <v>1312</v>
      </c>
      <c r="H5" s="8"/>
      <c r="I5" s="8" t="s">
        <v>1313</v>
      </c>
      <c r="J5" s="8"/>
      <c r="K5" s="5" t="inlineStr">
        <is>
          <t xml:space="preserve">I couldn't find a flash-sale reminder or reminder subscription in this buyer app.</t>
        </is>
      </c>
      <c r="L5" s="5" t="inlineStr">
        <is>
          <t xml:space="preserve">Not Run</t>
        </is>
      </c>
      <c r="M5" s="5" t="inlineStr">
        <is>
          <t xml:space="preserve">Missing in source review; not executed. See chat_screen.dart, notifications_screen.dart, ChatController.php, NotificationController.php.</t>
        </is>
      </c>
    </row>
    <row r="6" customFormat="false" hidden="false" outlineLevel="0" collapsed="false" ht="122.00" customHeight="true">
      <c r="A6" s="7" t="s">
        <v>1314</v>
      </c>
      <c r="B6" s="8" t="s">
        <v>1295</v>
      </c>
      <c r="C6" s="8" t="s">
        <v>1315</v>
      </c>
      <c r="D6" s="8" t="s">
        <v>52</v>
      </c>
      <c r="E6" s="8" t="s">
        <v>755</v>
      </c>
      <c r="F6" s="8" t="s">
        <v>1316</v>
      </c>
      <c r="G6" s="8" t="s">
        <v>1317</v>
      </c>
      <c r="H6" s="8"/>
      <c r="I6" s="8" t="s">
        <v>1318</v>
      </c>
      <c r="J6" s="8"/>
      <c r="K6" s="5" t="inlineStr">
        <is>
          <t xml:space="preserve">Opening a notification marks it read, and Mark All as Read clears the inbox's unread total. The 3-to-2-to-0 sequence still needs checking with three unread entries.</t>
        </is>
      </c>
      <c r="L6" s="5" t="inlineStr">
        <is>
          <t xml:space="preserve">Not Run</t>
        </is>
      </c>
      <c r="M6" s="5" t="inlineStr">
        <is>
          <t xml:space="preserve">Supported in source review; not executed. See chat_screen.dart, notifications_screen.dart, ChatController.php, NotificationController.php.</t>
        </is>
      </c>
    </row>
    <row r="7" customFormat="false" hidden="false" outlineLevel="0" collapsed="false" ht="66.00" customHeight="true">
      <c r="A7" s="7" t="s">
        <v>1319</v>
      </c>
      <c r="B7" s="8" t="s">
        <v>1295</v>
      </c>
      <c r="C7" s="8" t="s">
        <v>1320</v>
      </c>
      <c r="D7" s="8" t="s">
        <v>52</v>
      </c>
      <c r="E7" s="8" t="s">
        <v>668</v>
      </c>
      <c r="F7" s="8" t="s">
        <v>1321</v>
      </c>
      <c r="G7" s="8" t="s">
        <v>1322</v>
      </c>
      <c r="H7" s="8" t="s">
        <v>1323</v>
      </c>
      <c r="I7" s="8" t="s">
        <v>1324</v>
      </c>
      <c r="J7" s="8" t="s">
        <v>1191</v>
      </c>
      <c r="K7" s="5" t="inlineStr">
        <is>
          <t xml:space="preserve">Chat has no background push-notification service or notification link that opens a conversation.</t>
        </is>
      </c>
      <c r="L7" s="5" t="inlineStr">
        <is>
          <t xml:space="preserve">Not Run</t>
        </is>
      </c>
      <c r="M7" s="5" t="inlineStr">
        <is>
          <t xml:space="preserve">Missing in source review; not executed. See pubspec.yaml, chat_screen.dart.</t>
        </is>
      </c>
    </row>
    <row r="8" customFormat="false" hidden="false" outlineLevel="0" collapsed="false" ht="122.00" customHeight="true">
      <c r="A8" s="7" t="s">
        <v>1325</v>
      </c>
      <c r="B8" s="8" t="s">
        <v>1295</v>
      </c>
      <c r="C8" s="8" t="s">
        <v>1326</v>
      </c>
      <c r="D8" s="8" t="s">
        <v>44</v>
      </c>
      <c r="E8" s="8" t="s">
        <v>755</v>
      </c>
      <c r="F8" s="8" t="s">
        <v>681</v>
      </c>
      <c r="G8" s="8" t="s">
        <v>1327</v>
      </c>
      <c r="H8" s="8"/>
      <c r="I8" s="8" t="s">
        <v>1328</v>
      </c>
      <c r="J8" s="8" t="s">
        <v>1329</v>
      </c>
      <c r="K8" s="5" t="inlineStr">
        <is>
          <t xml:space="preserve">The in-app notification list is separate from phone push permissions. This app has no push service, so turning notifications off does not test a working push-permission flow.</t>
        </is>
      </c>
      <c r="L8" s="5" t="inlineStr">
        <is>
          <t xml:space="preserve">Not Run</t>
        </is>
      </c>
      <c r="M8" s="5" t="inlineStr">
        <is>
          <t xml:space="preserve">Partial in source review; not executed. See chat_screen.dart, notifications_screen.dart, ChatController.php, NotificationController.php.</t>
        </is>
      </c>
    </row>
    <row r="9" customFormat="false" hidden="false" outlineLevel="0" collapsed="false" ht="122.00" customHeight="true">
      <c r="A9" s="7" t="s">
        <v>1330</v>
      </c>
      <c r="B9" s="8" t="s">
        <v>1295</v>
      </c>
      <c r="C9" s="8" t="s">
        <v>1331</v>
      </c>
      <c r="D9" s="8" t="s">
        <v>54</v>
      </c>
      <c r="E9" s="8" t="s">
        <v>755</v>
      </c>
      <c r="F9" s="8" t="s">
        <v>1332</v>
      </c>
      <c r="G9" s="8" t="s">
        <v>1333</v>
      </c>
      <c r="H9" s="8" t="s">
        <v>1334</v>
      </c>
      <c r="I9" s="8" t="s">
        <v>1335</v>
      </c>
      <c r="J9" s="8" t="s">
        <v>204</v>
      </c>
      <c r="K9" s="5" t="inlineStr">
        <is>
          <t xml:space="preserve">Sending clears the text before the request succeeds, and a failure only shows an error. There is no saved unsent message, retry action, or automatic resend.</t>
        </is>
      </c>
      <c r="L9" s="5" t="inlineStr">
        <is>
          <t xml:space="preserve">Not Run</t>
        </is>
      </c>
      <c r="M9" s="5" t="inlineStr">
        <is>
          <t xml:space="preserve">Gap in source review; not executed. See chat_screen.dart, notifications_screen.dart, ChatController.php, NotificationController.php.</t>
        </is>
      </c>
    </row>
  </sheetData>
  <autoFilter ref="A1:M9"/>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2026-10-14T03:54:29Z</dcterms:created>
  <dc:creator>openpyxl</dc:creator>
  <dc:description/>
  <dc:language>en-US</dc:language>
  <cp:lastModifiedBy/>
  <dcterms:modified xsi:type="dcterms:W3CDTF">2026-10-21T00:42:59Z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